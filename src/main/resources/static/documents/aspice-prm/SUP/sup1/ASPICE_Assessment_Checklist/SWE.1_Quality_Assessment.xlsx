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108" documentId="13_ncr:1_{98090033-C7B9-42FE-B67B-65C5FEABC67A}" xr6:coauthVersionLast="47" xr6:coauthVersionMax="47" xr10:uidLastSave="{245274B2-769E-4206-BC1F-7C5EA37CB3A1}"/>
  <bookViews>
    <workbookView xWindow="-110" yWindow="-110" windowWidth="19420" windowHeight="10420" firstSheet="2" activeTab="2" xr2:uid="{D5474F9E-31B1-408C-A926-FF9D6FA504EE}"/>
  </bookViews>
  <sheets>
    <sheet name="BasePractices_ASPICEv3.1" sheetId="1" state="hidden" r:id="rId1"/>
    <sheet name="WorkProducts_ASPICEv3.1" sheetId="2" state="hidden" r:id="rId2"/>
    <sheet name="BasePractices_ASPICEv4.0" sheetId="6" r:id="rId3"/>
    <sheet name="WorkProducts_ASPICEv4.0" sheetId="7" r:id="rId4"/>
    <sheet name="Rating Description" sheetId="4" r:id="rId5"/>
    <sheet name="Drop down list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6" l="1"/>
  <c r="J8" i="6"/>
  <c r="Q7" i="6"/>
  <c r="J7" i="6"/>
  <c r="Q6" i="6"/>
  <c r="J6" i="6"/>
  <c r="Q5" i="6"/>
  <c r="J5" i="6"/>
  <c r="Q4" i="6"/>
  <c r="J4" i="6"/>
  <c r="Q3" i="6"/>
  <c r="J3" i="6"/>
  <c r="Q10" i="1"/>
  <c r="Q9" i="1"/>
  <c r="Q8" i="1"/>
  <c r="Q7" i="1"/>
  <c r="Q6" i="1"/>
  <c r="Q5" i="1"/>
  <c r="Q4" i="1"/>
  <c r="Q3" i="1"/>
  <c r="J3" i="1"/>
  <c r="J10" i="1"/>
  <c r="J9" i="1"/>
  <c r="J8" i="1"/>
  <c r="J7" i="1"/>
  <c r="J6" i="1"/>
  <c r="J5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ED49D2EA-7312-4157-B360-D0B25C8355F3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Use the system requirements and the system architecture and changes to system requirements and architecture to identify the required functions and capabilities of the software. Specify functional and non-functional software requirements in a software requirements specification.</t>
        </r>
      </text>
    </comment>
    <comment ref="C4" authorId="0" shapeId="0" xr:uid="{9F3DD43F-BDFE-472E-B08B-1FF4D5FBD0D5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Structure the software requirements in the software requirements specification by e.g.
• grouping to project relevant clusters,
• sorting in a logical order for the project,
• categorizing based on relevant criteria for the project,
• prioritizing according to stakeholder needs.</t>
        </r>
      </text>
    </comment>
    <comment ref="C5" authorId="0" shapeId="0" xr:uid="{A2852978-DD64-4E34-90C5-6CDCDC301CDB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Analyze the specified software requirements including their interdependencies to ensure correctness, technical feasibility and verifiability, and to support risk identification. Analyze the impact on cost, schedule and the technical impact.</t>
        </r>
      </text>
    </comment>
    <comment ref="C6" authorId="0" shapeId="0" xr:uid="{72D30CD9-BB69-4A6D-92A8-0B4E721FF241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Analyze the impact that the software requirements will have on interfaces of system elements and the operating environment.</t>
        </r>
      </text>
    </comment>
    <comment ref="C7" authorId="0" shapeId="0" xr:uid="{8F5B5DA7-5065-4786-98A5-F684E9F157E7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Develop the verification criteria for each software requirement that define the qualitative and quantitative measures for the verification of a requirement.</t>
        </r>
      </text>
    </comment>
    <comment ref="C8" authorId="0" shapeId="0" xr:uid="{ACA1695E-5753-4BBD-A2E4-3A6BB0AD17F8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Establish bidirectional traceability between system requirements and software requirements. Establish bidirectional traceability between the system architecture and software requirements.</t>
        </r>
      </text>
    </comment>
    <comment ref="C9" authorId="0" shapeId="0" xr:uid="{0616BC21-10D7-4CDE-A57C-EF62A44DEE13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Ensure consistency between system requirements and software requirements. Ensure consistency between the system architecture and software requirements.</t>
        </r>
      </text>
    </comment>
    <comment ref="C10" authorId="0" shapeId="0" xr:uid="{71D28391-28D7-4F81-A22F-C4B4FFA42B47}">
      <text>
        <r>
          <rPr>
            <b/>
            <sz val="9"/>
            <color indexed="81"/>
            <rFont val="Tahoma"/>
            <family val="2"/>
          </rPr>
          <t>Purvi Sahu:</t>
        </r>
        <r>
          <rPr>
            <sz val="9"/>
            <color indexed="81"/>
            <rFont val="Tahoma"/>
            <family val="2"/>
          </rPr>
          <t xml:space="preserve">
Communicate the agreed software requirements and updates to software requirements to all relevant parties.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A4D58597-1B0F-44EE-A8FE-584C6CDC1061}">
      <text>
        <r>
          <rPr>
            <sz val="9"/>
            <color indexed="81"/>
            <rFont val="Tahoma"/>
            <family val="2"/>
          </rPr>
          <t>Use the system requirements and the system 
architecture to identify and document the functional and non-functional requirements for the 
software according to defined characteristics for requirements.</t>
        </r>
      </text>
    </comment>
    <comment ref="C4" authorId="0" shapeId="0" xr:uid="{C9583E5F-57C6-47CF-946D-4DD56400D4B0}">
      <text>
        <r>
          <rPr>
            <sz val="9"/>
            <color indexed="81"/>
            <rFont val="Tahoma"/>
            <family val="2"/>
          </rPr>
          <t>Structure and prioritize the software 
requirements. 
Note 5: Examples for structuring criteria can be grouping (e.g., by functionality) or expressing 
product variants.
Note 6: Prioritization can be done according to project or stakeholder needs via e.g., definition of 
release scopes. Refer to SPL.2.BP1</t>
        </r>
      </text>
    </comment>
    <comment ref="C5" authorId="0" shapeId="0" xr:uid="{20FBE4F9-3326-429A-BB8F-153715207B18}">
      <text>
        <r>
          <rPr>
            <sz val="9"/>
            <color indexed="81"/>
            <rFont val="Tahoma"/>
            <family val="2"/>
          </rPr>
          <t>Analyze the specified software requirements 
including their interdependencies to ensure correctness, technical feasibility, and to support 
project management regarding project estimates.
Note 7: See MAN.3.BP3 for project feasibility and MAN.3.BP5 for project estimates.
Note 8: Technical feasibility can be evaluated based on e.g., platform or product line, or by 
prototyping.</t>
        </r>
      </text>
    </comment>
    <comment ref="C6" authorId="0" shapeId="0" xr:uid="{85B544CA-86D1-4C9B-A82B-868BB9B82639}">
      <text>
        <r>
          <rPr>
            <sz val="9"/>
            <color indexed="81"/>
            <rFont val="Tahoma"/>
            <family val="2"/>
          </rPr>
          <t xml:space="preserve">Analyze the impact that the 
software requirements will have on elements in the operating environment. </t>
        </r>
      </text>
    </comment>
    <comment ref="C7" authorId="0" shapeId="0" xr:uid="{6A82CC9A-26E4-4402-BA21-54D429545608}">
      <text>
        <r>
          <rPr>
            <sz val="9"/>
            <color indexed="81"/>
            <rFont val="Tahoma"/>
            <family val="2"/>
          </rPr>
          <t>Ensure 
consistency and establish bidirectional traceability between software requirements and system 
architecture. Ensure consistency and establish bidirectional traceability between software 
requirements and system requirements.</t>
        </r>
      </text>
    </comment>
    <comment ref="C8" authorId="0" shapeId="0" xr:uid="{D3F4ABD9-7BFE-4FE5-9501-4FE0DAB008FB}">
      <text>
        <r>
          <rPr>
            <sz val="9"/>
            <color indexed="81"/>
            <rFont val="Tahoma"/>
            <family val="2"/>
          </rPr>
          <t>Communicate the agreed software requirements, and the results of the analysis 
of impact on the operating environment, to all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affected parties.</t>
        </r>
      </text>
    </comment>
  </commentList>
</comments>
</file>

<file path=xl/sharedStrings.xml><?xml version="1.0" encoding="utf-8"?>
<sst xmlns="http://schemas.openxmlformats.org/spreadsheetml/2006/main" count="262" uniqueCount="80">
  <si>
    <t>SOFTWARE ENGINEERING PROCESS GROUP</t>
  </si>
  <si>
    <t>Previous Rating</t>
  </si>
  <si>
    <t>Current Evaluation</t>
  </si>
  <si>
    <t>Evidence</t>
  </si>
  <si>
    <t>Remark</t>
  </si>
  <si>
    <t>Target Date</t>
  </si>
  <si>
    <t>SWE.1</t>
  </si>
  <si>
    <t>SOFTWARE REQUIREMENT ANALYSIS</t>
  </si>
  <si>
    <t>In Scope?</t>
  </si>
  <si>
    <t>PA 1.1</t>
  </si>
  <si>
    <t>PA 2.1</t>
  </si>
  <si>
    <t>PA 2.2</t>
  </si>
  <si>
    <t>PA 3.1</t>
  </si>
  <si>
    <t>PA 3.2</t>
  </si>
  <si>
    <t>CL</t>
  </si>
  <si>
    <t>BP1</t>
  </si>
  <si>
    <t>Specify software requirements</t>
  </si>
  <si>
    <t>-</t>
  </si>
  <si>
    <t>BP2</t>
  </si>
  <si>
    <t>Structure software requirements</t>
  </si>
  <si>
    <t>BP3</t>
  </si>
  <si>
    <t>Analyze software requirements</t>
  </si>
  <si>
    <t>BP4</t>
  </si>
  <si>
    <t>Analyze the impact on the operating environment</t>
  </si>
  <si>
    <t>BP5</t>
  </si>
  <si>
    <t>Develop verification criteria</t>
  </si>
  <si>
    <t>BP6</t>
  </si>
  <si>
    <t>Establish bidirectional traceability</t>
  </si>
  <si>
    <t>BP7</t>
  </si>
  <si>
    <t>Ensure consistency</t>
  </si>
  <si>
    <t>BP8</t>
  </si>
  <si>
    <t>Communicate agreed software requirements</t>
  </si>
  <si>
    <t>Software Requirements Analysis</t>
  </si>
  <si>
    <t>v3.1</t>
  </si>
  <si>
    <t>v4.0</t>
  </si>
  <si>
    <t>13-04</t>
  </si>
  <si>
    <t>Communication record</t>
  </si>
  <si>
    <t>13-19</t>
  </si>
  <si>
    <t>Review record</t>
  </si>
  <si>
    <t>13-21</t>
  </si>
  <si>
    <t>Change control record</t>
  </si>
  <si>
    <t>13-22</t>
  </si>
  <si>
    <t>Traceability record</t>
  </si>
  <si>
    <t>15-01</t>
  </si>
  <si>
    <t>Analysis report</t>
  </si>
  <si>
    <t>17-08</t>
  </si>
  <si>
    <t>Interface requirements specification</t>
  </si>
  <si>
    <t>17-11</t>
  </si>
  <si>
    <t>Software requirements specification</t>
  </si>
  <si>
    <t>17-50</t>
  </si>
  <si>
    <t>Verification criteria</t>
  </si>
  <si>
    <t xml:space="preserve">LIN documents reference 
</t>
  </si>
  <si>
    <t>No</t>
  </si>
  <si>
    <t>Verification criterion, design review, code review.</t>
  </si>
  <si>
    <t>Ensure consistency &amp; establish biderctional traceability.</t>
  </si>
  <si>
    <t>Communicate agreed software requirements and impact on the operating environment.</t>
  </si>
  <si>
    <t>Daily stand-up time y Preemal &amp; Rohith, cross-functional team via. Attended customer OPL list.</t>
  </si>
  <si>
    <t>17-00</t>
  </si>
  <si>
    <t>Requirement</t>
  </si>
  <si>
    <t>17-54</t>
  </si>
  <si>
    <t>Requirement Attribute</t>
  </si>
  <si>
    <t>15-51</t>
  </si>
  <si>
    <t>Analysis Results</t>
  </si>
  <si>
    <t>13-51</t>
  </si>
  <si>
    <t>Consistency Evidence</t>
  </si>
  <si>
    <t>13-52</t>
  </si>
  <si>
    <t>Communication Evidence</t>
  </si>
  <si>
    <t>PROCESS ATTRIBUTES (PA)</t>
  </si>
  <si>
    <t>Process attributes are features of a process that can be evaluated on a scale of achievement, providing a measure of the capability of the process. They are applicable to all processes.</t>
  </si>
  <si>
    <t>According to ISO/IEC 33020 there are six capability levels, incorporating nine process attributes:</t>
  </si>
  <si>
    <t>RATING SCALE</t>
  </si>
  <si>
    <t xml:space="preserve">Within this process measurement framework, a process attribute is a measureable property of process capability. A process attribute rating is a judgement of the degree of achievement of the process attribute for the assessed process.
</t>
  </si>
  <si>
    <t>The rating scale is defined by ISO/IEC 33020 as shown in table below:</t>
  </si>
  <si>
    <t>The ordinal scale defined above shall be understood in terms of percentage achievement of a process attribute.</t>
  </si>
  <si>
    <t>The corresponding percentages shall be:</t>
  </si>
  <si>
    <t>N</t>
  </si>
  <si>
    <t>P</t>
  </si>
  <si>
    <t>L</t>
  </si>
  <si>
    <t>F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</si>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</sst>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quotePrefix="1" applyFont="1" applyBorder="1" applyAlignment="1" applyProtection="1">
      <alignment horizontal="center" vertical="center" wrapText="1"/>
      <protection locked="0"/>
    </xf>
    <xf numFmtId="0" fontId="0" fillId="0" borderId="0" xfId="0" quotePrefix="1"/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5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444500</xdr:colOff>
      <xdr:row>2</xdr:row>
      <xdr:rowOff>169334</xdr:rowOff>
    </xdr:from>
    <xdr:to>
      <xdr:col>18</xdr:col>
      <xdr:colOff>2617611</xdr:colOff>
      <xdr:row>2</xdr:row>
      <xdr:rowOff>2634138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07683-5275-954F-BBE5-387789083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90611" y="754945"/>
          <a:ext cx="2173111" cy="2464804"/>
        </a:xfrm>
        <a:prstGeom prst="rect">
          <a:avLst/>
        </a:prstGeom>
      </xdr:spPr>
    </xdr:pic>
    <xdr:clientData/>
  </xdr:twoCellAnchor>
  <xdr:twoCellAnchor editAs="oneCell">
    <xdr:from>
      <xdr:col>18</xdr:col>
      <xdr:colOff>21168</xdr:colOff>
      <xdr:row>3</xdr:row>
      <xdr:rowOff>529166</xdr:rowOff>
    </xdr:from>
    <xdr:to>
      <xdr:col>19</xdr:col>
      <xdr:colOff>740834</xdr:colOff>
      <xdr:row>4</xdr:row>
      <xdr:rowOff>2290309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2D481-244C-CDA3-3964-16B3046F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67279" y="4684888"/>
          <a:ext cx="3548944" cy="2367921"/>
        </a:xfrm>
        <a:prstGeom prst="rect">
          <a:avLst/>
        </a:prstGeom>
      </xdr:spPr>
    </xdr:pic>
    <xdr:clientData/>
  </xdr:twoCellAnchor>
  <xdr:twoCellAnchor editAs="oneCell">
    <xdr:from>
      <xdr:col>17</xdr:col>
      <xdr:colOff>1697920</xdr:colOff>
      <xdr:row>7</xdr:row>
      <xdr:rowOff>161221</xdr:rowOff>
    </xdr:from>
    <xdr:to>
      <xdr:col>19</xdr:col>
      <xdr:colOff>695325</xdr:colOff>
      <xdr:row>7</xdr:row>
      <xdr:rowOff>585787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B26C86-3B06-4515-EF69-3D639D99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14337" y="9146471"/>
          <a:ext cx="3781071" cy="4245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101600</xdr:rowOff>
    </xdr:from>
    <xdr:to>
      <xdr:col>2</xdr:col>
      <xdr:colOff>370</xdr:colOff>
      <xdr:row>28</xdr:row>
      <xdr:rowOff>165311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24D8DB-92A5-B5F5-A50F-C8E5DB0B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593850"/>
          <a:ext cx="7201270" cy="41150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38</xdr:row>
      <xdr:rowOff>12700</xdr:rowOff>
    </xdr:from>
    <xdr:to>
      <xdr:col>2</xdr:col>
      <xdr:colOff>3548</xdr:colOff>
      <xdr:row>54</xdr:row>
      <xdr:rowOff>19202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11A296-C7C4-5B02-61E9-B19A94204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816850"/>
          <a:ext cx="7213973" cy="29529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65</xdr:row>
      <xdr:rowOff>165156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DBF754-CDA7-82C4-5B24-6B166D3B9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855450"/>
          <a:ext cx="7296150" cy="1085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3BE-1F69-480A-845D-5483A33406FF}">
  <dimension ref="B1:T10"/>
  <sheetViews>
    <sheetView showGridLines="0" topLeftCell="A7" zoomScale="90" zoomScaleNormal="90" workbookViewId="0">
      <selection activeCell="C16" sqref="C16"/>
    </sheetView>
  </sheetViews>
  <sheetFormatPr defaultRowHeight="14.45"/>
  <cols>
    <col min="3" max="3" width="72.140625" style="1" customWidth="1"/>
    <col min="4" max="4" width="20.85546875" style="2" customWidth="1"/>
    <col min="5" max="5" width="16.140625" bestFit="1" customWidth="1"/>
    <col min="6" max="6" width="18.85546875" customWidth="1"/>
    <col min="7" max="7" width="17.28515625" bestFit="1" customWidth="1"/>
    <col min="8" max="8" width="15.5703125" customWidth="1"/>
    <col min="9" max="9" width="15.7109375" customWidth="1"/>
    <col min="10" max="10" width="17.140625" customWidth="1"/>
    <col min="12" max="12" width="15" customWidth="1"/>
    <col min="13" max="13" width="14.42578125" customWidth="1"/>
    <col min="14" max="14" width="15.85546875" customWidth="1"/>
    <col min="15" max="15" width="16.28515625" customWidth="1"/>
    <col min="16" max="16" width="16" customWidth="1"/>
    <col min="17" max="17" width="15.85546875" customWidth="1"/>
    <col min="18" max="18" width="28.140625" customWidth="1"/>
    <col min="19" max="19" width="26" style="11" customWidth="1"/>
    <col min="20" max="20" width="22.140625" customWidth="1"/>
    <col min="21" max="21" width="13.28515625" customWidth="1"/>
  </cols>
  <sheetData>
    <row r="1" spans="2:20" ht="18.600000000000001">
      <c r="B1" s="23" t="s">
        <v>0</v>
      </c>
      <c r="C1" s="24"/>
      <c r="D1" s="25" t="s">
        <v>1</v>
      </c>
      <c r="E1" s="25"/>
      <c r="F1" s="25"/>
      <c r="G1" s="25"/>
      <c r="H1" s="25"/>
      <c r="I1" s="25"/>
      <c r="J1" s="25"/>
      <c r="L1" s="25" t="s">
        <v>2</v>
      </c>
      <c r="M1" s="25"/>
      <c r="N1" s="25"/>
      <c r="O1" s="25"/>
      <c r="P1" s="25"/>
      <c r="Q1" s="25"/>
      <c r="R1" s="22" t="s">
        <v>3</v>
      </c>
      <c r="S1" s="22" t="s">
        <v>4</v>
      </c>
      <c r="T1" s="22" t="s">
        <v>5</v>
      </c>
    </row>
    <row r="2" spans="2:20" ht="27.6" customHeight="1">
      <c r="B2" s="13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14" t="s">
        <v>13</v>
      </c>
      <c r="J2" s="14" t="s">
        <v>14</v>
      </c>
      <c r="K2" s="14"/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  <c r="Q2" s="14" t="s">
        <v>14</v>
      </c>
      <c r="R2" s="22"/>
      <c r="S2" s="22"/>
      <c r="T2" s="22"/>
    </row>
    <row r="3" spans="2:20" ht="71.45" customHeight="1">
      <c r="B3" s="6" t="s">
        <v>15</v>
      </c>
      <c r="C3" s="9" t="s">
        <v>16</v>
      </c>
      <c r="D3" s="4"/>
      <c r="E3" s="17" t="s">
        <v>17</v>
      </c>
      <c r="F3" s="17" t="s">
        <v>17</v>
      </c>
      <c r="G3" s="17" t="s">
        <v>17</v>
      </c>
      <c r="H3" s="17" t="s">
        <v>17</v>
      </c>
      <c r="I3" s="17" t="s">
        <v>17</v>
      </c>
      <c r="J3" s="19">
        <f>IF(OR(E3="F",E3="L"),IF(AND(E3="F",OR(G3="F",G3="L"),OR(G3="F",G3="L")),IF(AND(E3="F",F3="F",G3="F",OR(H3="F",H3="L"),OR(I3="F",I3="L")),3,2),1),0)</f>
        <v>0</v>
      </c>
      <c r="K3" s="4"/>
      <c r="L3" s="17" t="s">
        <v>17</v>
      </c>
      <c r="M3" s="17" t="s">
        <v>17</v>
      </c>
      <c r="N3" s="17" t="s">
        <v>17</v>
      </c>
      <c r="O3" s="17" t="s">
        <v>17</v>
      </c>
      <c r="P3" s="17" t="s">
        <v>17</v>
      </c>
      <c r="Q3" s="19">
        <f>IF(OR(L3="F",L3="L"),IF(AND(L3="F",OR(N3="F",N3="L"),OR(N3="F",N3="L")),IF(AND(L3="F",M3="F",N3="F",OR(O3="F",O3="L"),OR(P3="F",P3="L")),3,2),1),0)</f>
        <v>0</v>
      </c>
      <c r="R3" s="10"/>
      <c r="S3" s="12"/>
      <c r="T3" s="4"/>
    </row>
    <row r="4" spans="2:20" ht="83.45" customHeight="1">
      <c r="B4" s="6" t="s">
        <v>18</v>
      </c>
      <c r="C4" s="9" t="s">
        <v>19</v>
      </c>
      <c r="D4" s="4"/>
      <c r="E4" s="16" t="s">
        <v>17</v>
      </c>
      <c r="F4" s="16" t="s">
        <v>17</v>
      </c>
      <c r="G4" s="16" t="s">
        <v>17</v>
      </c>
      <c r="H4" s="16" t="s">
        <v>17</v>
      </c>
      <c r="I4" s="16" t="s">
        <v>17</v>
      </c>
      <c r="J4" s="19">
        <f t="shared" ref="J4:J10" si="0">IF(OR(E4="F",E4="L"),IF(AND(E4="F",OR(G4="F",G4="L"),OR(G4="F",G4="L")),IF(AND(E4="F",F4="F",G4="F",OR(H4="F",H4="L"),OR(I4="F",I4="L")),3,2),1),0)</f>
        <v>0</v>
      </c>
      <c r="K4" s="4"/>
      <c r="L4" s="17" t="s">
        <v>17</v>
      </c>
      <c r="M4" s="17" t="s">
        <v>17</v>
      </c>
      <c r="N4" s="17" t="s">
        <v>17</v>
      </c>
      <c r="O4" s="17" t="s">
        <v>17</v>
      </c>
      <c r="P4" s="17" t="s">
        <v>17</v>
      </c>
      <c r="Q4" s="19">
        <f t="shared" ref="Q4:Q10" si="1">IF(OR(L4="F",L4="L"),IF(AND(L4="F",OR(N4="F",N4="L"),OR(N4="F",N4="L")),IF(AND(L4="F",M4="F",N4="F",OR(O4="F",O4="L"),OR(P4="F",P4="L")),3,2),1),0)</f>
        <v>0</v>
      </c>
      <c r="R4" s="10"/>
      <c r="S4" s="12"/>
      <c r="T4" s="4"/>
    </row>
    <row r="5" spans="2:20" ht="72.599999999999994" customHeight="1">
      <c r="B5" s="6" t="s">
        <v>20</v>
      </c>
      <c r="C5" s="9" t="s">
        <v>21</v>
      </c>
      <c r="D5" s="4"/>
      <c r="E5" s="16" t="s">
        <v>17</v>
      </c>
      <c r="F5" s="16" t="s">
        <v>17</v>
      </c>
      <c r="G5" s="16" t="s">
        <v>17</v>
      </c>
      <c r="H5" s="16" t="s">
        <v>17</v>
      </c>
      <c r="I5" s="16" t="s">
        <v>17</v>
      </c>
      <c r="J5" s="19">
        <f t="shared" si="0"/>
        <v>0</v>
      </c>
      <c r="K5" s="4"/>
      <c r="L5" s="17" t="s">
        <v>17</v>
      </c>
      <c r="M5" s="17" t="s">
        <v>17</v>
      </c>
      <c r="N5" s="17" t="s">
        <v>17</v>
      </c>
      <c r="O5" s="17" t="s">
        <v>17</v>
      </c>
      <c r="P5" s="17" t="s">
        <v>17</v>
      </c>
      <c r="Q5" s="19">
        <f t="shared" si="1"/>
        <v>0</v>
      </c>
      <c r="R5" s="10"/>
      <c r="S5" s="12"/>
      <c r="T5" s="4"/>
    </row>
    <row r="6" spans="2:20" ht="62.1" customHeight="1">
      <c r="B6" s="6" t="s">
        <v>22</v>
      </c>
      <c r="C6" s="9" t="s">
        <v>23</v>
      </c>
      <c r="D6" s="4"/>
      <c r="E6" s="16" t="s">
        <v>17</v>
      </c>
      <c r="F6" s="16" t="s">
        <v>17</v>
      </c>
      <c r="G6" s="16" t="s">
        <v>17</v>
      </c>
      <c r="H6" s="16" t="s">
        <v>17</v>
      </c>
      <c r="I6" s="16" t="s">
        <v>17</v>
      </c>
      <c r="J6" s="19">
        <f t="shared" si="0"/>
        <v>0</v>
      </c>
      <c r="K6" s="4"/>
      <c r="L6" s="17" t="s">
        <v>17</v>
      </c>
      <c r="M6" s="17" t="s">
        <v>17</v>
      </c>
      <c r="N6" s="17" t="s">
        <v>17</v>
      </c>
      <c r="O6" s="17" t="s">
        <v>17</v>
      </c>
      <c r="P6" s="17" t="s">
        <v>17</v>
      </c>
      <c r="Q6" s="19">
        <f t="shared" si="1"/>
        <v>0</v>
      </c>
      <c r="R6" s="10"/>
      <c r="S6" s="12"/>
      <c r="T6" s="4"/>
    </row>
    <row r="7" spans="2:20" ht="60" customHeight="1">
      <c r="B7" s="6" t="s">
        <v>24</v>
      </c>
      <c r="C7" s="9" t="s">
        <v>25</v>
      </c>
      <c r="D7" s="4"/>
      <c r="E7" s="16" t="s">
        <v>17</v>
      </c>
      <c r="F7" s="16" t="s">
        <v>17</v>
      </c>
      <c r="G7" s="16" t="s">
        <v>17</v>
      </c>
      <c r="H7" s="16" t="s">
        <v>17</v>
      </c>
      <c r="I7" s="16" t="s">
        <v>17</v>
      </c>
      <c r="J7" s="19">
        <f t="shared" si="0"/>
        <v>0</v>
      </c>
      <c r="K7" s="4"/>
      <c r="L7" s="17" t="s">
        <v>17</v>
      </c>
      <c r="M7" s="17" t="s">
        <v>17</v>
      </c>
      <c r="N7" s="17" t="s">
        <v>17</v>
      </c>
      <c r="O7" s="17" t="s">
        <v>17</v>
      </c>
      <c r="P7" s="17" t="s">
        <v>17</v>
      </c>
      <c r="Q7" s="19">
        <f t="shared" si="1"/>
        <v>0</v>
      </c>
      <c r="R7" s="12"/>
      <c r="S7" s="12"/>
      <c r="T7" s="4"/>
    </row>
    <row r="8" spans="2:20" ht="63.6" customHeight="1">
      <c r="B8" s="6" t="s">
        <v>26</v>
      </c>
      <c r="C8" s="9" t="s">
        <v>27</v>
      </c>
      <c r="D8" s="4"/>
      <c r="E8" s="16" t="s">
        <v>17</v>
      </c>
      <c r="F8" s="16" t="s">
        <v>17</v>
      </c>
      <c r="G8" s="16" t="s">
        <v>17</v>
      </c>
      <c r="H8" s="16" t="s">
        <v>17</v>
      </c>
      <c r="I8" s="16" t="s">
        <v>17</v>
      </c>
      <c r="J8" s="19">
        <f t="shared" si="0"/>
        <v>0</v>
      </c>
      <c r="K8" s="4"/>
      <c r="L8" s="17" t="s">
        <v>17</v>
      </c>
      <c r="M8" s="17" t="s">
        <v>17</v>
      </c>
      <c r="N8" s="17" t="s">
        <v>17</v>
      </c>
      <c r="O8" s="17" t="s">
        <v>17</v>
      </c>
      <c r="P8" s="17" t="s">
        <v>17</v>
      </c>
      <c r="Q8" s="19">
        <f t="shared" si="1"/>
        <v>0</v>
      </c>
      <c r="R8" s="12"/>
      <c r="S8" s="12"/>
      <c r="T8" s="4"/>
    </row>
    <row r="9" spans="2:20" ht="52.5" customHeight="1">
      <c r="B9" s="6" t="s">
        <v>28</v>
      </c>
      <c r="C9" s="9" t="s">
        <v>29</v>
      </c>
      <c r="D9" s="4"/>
      <c r="E9" s="16" t="s">
        <v>17</v>
      </c>
      <c r="F9" s="16" t="s">
        <v>17</v>
      </c>
      <c r="G9" s="16" t="s">
        <v>17</v>
      </c>
      <c r="H9" s="16" t="s">
        <v>17</v>
      </c>
      <c r="I9" s="16" t="s">
        <v>17</v>
      </c>
      <c r="J9" s="19">
        <f t="shared" si="0"/>
        <v>0</v>
      </c>
      <c r="K9" s="4"/>
      <c r="L9" s="17" t="s">
        <v>17</v>
      </c>
      <c r="M9" s="17" t="s">
        <v>17</v>
      </c>
      <c r="N9" s="17" t="s">
        <v>17</v>
      </c>
      <c r="O9" s="17" t="s">
        <v>17</v>
      </c>
      <c r="P9" s="17" t="s">
        <v>17</v>
      </c>
      <c r="Q9" s="19">
        <f t="shared" si="1"/>
        <v>0</v>
      </c>
      <c r="R9" s="12"/>
      <c r="S9" s="12"/>
      <c r="T9" s="4"/>
    </row>
    <row r="10" spans="2:20" ht="38.450000000000003" customHeight="1">
      <c r="B10" s="6" t="s">
        <v>30</v>
      </c>
      <c r="C10" s="15" t="s">
        <v>31</v>
      </c>
      <c r="D10" s="4"/>
      <c r="E10" s="16" t="s">
        <v>17</v>
      </c>
      <c r="F10" s="16" t="s">
        <v>17</v>
      </c>
      <c r="G10" s="16" t="s">
        <v>17</v>
      </c>
      <c r="H10" s="16" t="s">
        <v>17</v>
      </c>
      <c r="I10" s="16" t="s">
        <v>17</v>
      </c>
      <c r="J10" s="19">
        <f t="shared" si="0"/>
        <v>0</v>
      </c>
      <c r="K10" s="4"/>
      <c r="L10" s="17" t="s">
        <v>17</v>
      </c>
      <c r="M10" s="17" t="s">
        <v>17</v>
      </c>
      <c r="N10" s="17" t="s">
        <v>17</v>
      </c>
      <c r="O10" s="17" t="s">
        <v>17</v>
      </c>
      <c r="P10" s="17" t="s">
        <v>17</v>
      </c>
      <c r="Q10" s="19">
        <f t="shared" si="1"/>
        <v>0</v>
      </c>
      <c r="R10" s="12"/>
      <c r="S10" s="12"/>
      <c r="T10" s="4"/>
    </row>
  </sheetData>
  <mergeCells count="6">
    <mergeCell ref="T1:T2"/>
    <mergeCell ref="B1:C1"/>
    <mergeCell ref="D1:J1"/>
    <mergeCell ref="L1:Q1"/>
    <mergeCell ref="R1:R2"/>
    <mergeCell ref="S1:S2"/>
  </mergeCells>
  <phoneticPr fontId="1" type="noConversion"/>
  <conditionalFormatting sqref="E3:I10">
    <cfRule type="cellIs" dxfId="14" priority="21" operator="equal">
      <formula>"-"</formula>
    </cfRule>
    <cfRule type="cellIs" dxfId="13" priority="22" operator="equal">
      <formula>"N"</formula>
    </cfRule>
    <cfRule type="cellIs" dxfId="12" priority="23" operator="equal">
      <formula>"P"</formula>
    </cfRule>
    <cfRule type="cellIs" dxfId="11" priority="24" operator="equal">
      <formula>"L"</formula>
    </cfRule>
    <cfRule type="cellIs" dxfId="10" priority="25" operator="equal">
      <formula>"F"</formula>
    </cfRule>
  </conditionalFormatting>
  <conditionalFormatting sqref="L3:P10">
    <cfRule type="cellIs" dxfId="9" priority="6" operator="equal">
      <formula>"-"</formula>
    </cfRule>
    <cfRule type="cellIs" dxfId="8" priority="7" operator="equal">
      <formula>"N"</formula>
    </cfRule>
    <cfRule type="cellIs" dxfId="7" priority="8" operator="equal">
      <formula>"P"</formula>
    </cfRule>
    <cfRule type="cellIs" dxfId="6" priority="9" operator="equal">
      <formula>"L"</formula>
    </cfRule>
    <cfRule type="cellIs" dxfId="5" priority="10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D298F5-118B-43C9-ACA1-5C0F8DEF9AC7}">
          <x14:formula1>
            <xm:f>'Drop down list'!$E$4:$E$7</xm:f>
          </x14:formula1>
          <xm:sqref>F11:F1048576 M11:M1048576</xm:sqref>
        </x14:dataValidation>
        <x14:dataValidation type="list" allowBlank="1" showInputMessage="1" showErrorMessage="1" xr:uid="{8E9F0836-9502-40E9-A88D-91EFD1848AB1}">
          <x14:formula1>
            <xm:f>'Drop down list'!$I$8:$I$9</xm:f>
          </x14:formula1>
          <xm:sqref>D3:D10</xm:sqref>
        </x14:dataValidation>
        <x14:dataValidation type="list" allowBlank="1" showInputMessage="1" showErrorMessage="1" xr:uid="{8A0D212B-7537-443E-8F58-B6EDDE584FCE}">
          <x14:formula1>
            <xm:f>'Drop down list'!$E$3:$E$7</xm:f>
          </x14:formula1>
          <xm:sqref>E3:I10 L3:P10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6ED-0D28-4FDA-BE25-EB867EA5B05C}">
  <dimension ref="C5:G13"/>
  <sheetViews>
    <sheetView showGridLines="0" workbookViewId="0">
      <selection activeCell="M11" sqref="M11"/>
    </sheetView>
  </sheetViews>
  <sheetFormatPr defaultRowHeight="14.45"/>
  <cols>
    <col min="4" max="4" width="38.42578125" customWidth="1"/>
  </cols>
  <sheetData>
    <row r="5" spans="3:7" ht="25.5" customHeight="1">
      <c r="C5" s="5" t="s">
        <v>6</v>
      </c>
      <c r="D5" s="3" t="s">
        <v>32</v>
      </c>
      <c r="E5" s="3" t="s">
        <v>33</v>
      </c>
      <c r="F5" s="3" t="s">
        <v>34</v>
      </c>
      <c r="G5" s="3" t="s">
        <v>4</v>
      </c>
    </row>
    <row r="6" spans="3:7">
      <c r="C6" s="7" t="s">
        <v>35</v>
      </c>
      <c r="D6" s="4" t="s">
        <v>36</v>
      </c>
      <c r="E6" s="4"/>
      <c r="F6" s="4"/>
      <c r="G6" s="4"/>
    </row>
    <row r="7" spans="3:7">
      <c r="C7" s="8" t="s">
        <v>37</v>
      </c>
      <c r="D7" s="4" t="s">
        <v>38</v>
      </c>
      <c r="E7" s="4"/>
      <c r="F7" s="4"/>
      <c r="G7" s="4"/>
    </row>
    <row r="8" spans="3:7">
      <c r="C8" s="8" t="s">
        <v>39</v>
      </c>
      <c r="D8" s="4" t="s">
        <v>40</v>
      </c>
      <c r="E8" s="4"/>
      <c r="F8" s="4"/>
      <c r="G8" s="4"/>
    </row>
    <row r="9" spans="3:7">
      <c r="C9" s="8" t="s">
        <v>41</v>
      </c>
      <c r="D9" s="4" t="s">
        <v>42</v>
      </c>
      <c r="E9" s="4"/>
      <c r="F9" s="4"/>
      <c r="G9" s="4"/>
    </row>
    <row r="10" spans="3:7">
      <c r="C10" s="8" t="s">
        <v>43</v>
      </c>
      <c r="D10" s="4" t="s">
        <v>44</v>
      </c>
      <c r="E10" s="4"/>
      <c r="F10" s="4"/>
      <c r="G10" s="4"/>
    </row>
    <row r="11" spans="3:7">
      <c r="C11" s="8" t="s">
        <v>45</v>
      </c>
      <c r="D11" s="4" t="s">
        <v>46</v>
      </c>
      <c r="E11" s="4"/>
      <c r="F11" s="4"/>
      <c r="G11" s="4"/>
    </row>
    <row r="12" spans="3:7">
      <c r="C12" s="8" t="s">
        <v>47</v>
      </c>
      <c r="D12" s="4" t="s">
        <v>48</v>
      </c>
      <c r="E12" s="4"/>
      <c r="F12" s="4"/>
      <c r="G12" s="4"/>
    </row>
    <row r="13" spans="3:7">
      <c r="C13" s="8" t="s">
        <v>49</v>
      </c>
      <c r="D13" s="4" t="s">
        <v>50</v>
      </c>
      <c r="E13" s="4"/>
      <c r="F13" s="4"/>
      <c r="G13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8814-CB32-4633-A633-5C16C2C76D08}">
  <dimension ref="B1:T8"/>
  <sheetViews>
    <sheetView showGridLines="0" tabSelected="1" topLeftCell="A5" zoomScale="90" zoomScaleNormal="90" workbookViewId="0">
      <selection activeCell="D8" sqref="D8"/>
    </sheetView>
  </sheetViews>
  <sheetFormatPr defaultRowHeight="14.45"/>
  <cols>
    <col min="3" max="3" width="75.5703125" style="1" customWidth="1"/>
    <col min="4" max="4" width="20.85546875" style="2" customWidth="1"/>
    <col min="5" max="5" width="16.140625" bestFit="1" customWidth="1"/>
    <col min="6" max="6" width="18.85546875" customWidth="1"/>
    <col min="7" max="7" width="17.28515625" bestFit="1" customWidth="1"/>
    <col min="8" max="8" width="15.5703125" hidden="1" customWidth="1"/>
    <col min="9" max="9" width="15.7109375" hidden="1" customWidth="1"/>
    <col min="10" max="10" width="17.140625" customWidth="1"/>
    <col min="11" max="11" width="0" hidden="1" customWidth="1"/>
    <col min="12" max="12" width="15" hidden="1" customWidth="1"/>
    <col min="13" max="13" width="14.42578125" hidden="1" customWidth="1"/>
    <col min="14" max="14" width="15.85546875" hidden="1" customWidth="1"/>
    <col min="15" max="15" width="16.28515625" hidden="1" customWidth="1"/>
    <col min="16" max="16" width="16" hidden="1" customWidth="1"/>
    <col min="17" max="17" width="15.85546875" hidden="1" customWidth="1"/>
    <col min="18" max="18" width="28.140625" customWidth="1"/>
    <col min="19" max="19" width="40.5703125" style="11" customWidth="1"/>
    <col min="20" max="20" width="22.140625" customWidth="1"/>
    <col min="21" max="21" width="13.28515625" customWidth="1"/>
  </cols>
  <sheetData>
    <row r="1" spans="2:20" ht="18.600000000000001">
      <c r="B1" s="23" t="s">
        <v>0</v>
      </c>
      <c r="C1" s="24"/>
      <c r="D1" s="25" t="s">
        <v>1</v>
      </c>
      <c r="E1" s="25"/>
      <c r="F1" s="25"/>
      <c r="G1" s="25"/>
      <c r="H1" s="25"/>
      <c r="I1" s="25"/>
      <c r="J1" s="25"/>
      <c r="L1" s="25" t="s">
        <v>2</v>
      </c>
      <c r="M1" s="25"/>
      <c r="N1" s="25"/>
      <c r="O1" s="25"/>
      <c r="P1" s="25"/>
      <c r="Q1" s="25"/>
      <c r="R1" s="22" t="s">
        <v>3</v>
      </c>
      <c r="S1" s="22" t="s">
        <v>4</v>
      </c>
      <c r="T1" s="22" t="s">
        <v>5</v>
      </c>
    </row>
    <row r="2" spans="2:20" ht="27.6" customHeight="1">
      <c r="B2" s="13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14" t="s">
        <v>13</v>
      </c>
      <c r="J2" s="14" t="s">
        <v>14</v>
      </c>
      <c r="K2" s="14"/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  <c r="Q2" s="14" t="s">
        <v>14</v>
      </c>
      <c r="R2" s="22"/>
      <c r="S2" s="22"/>
      <c r="T2" s="22"/>
    </row>
    <row r="3" spans="2:20" ht="281.10000000000002" customHeight="1">
      <c r="B3" s="6" t="s">
        <v>15</v>
      </c>
      <c r="C3" s="9" t="s">
        <v>16</v>
      </c>
      <c r="D3" s="4"/>
      <c r="E3" s="17" t="s">
        <v>17</v>
      </c>
      <c r="F3" s="17" t="s">
        <v>17</v>
      </c>
      <c r="G3" s="17" t="s">
        <v>17</v>
      </c>
      <c r="H3" s="17" t="s">
        <v>17</v>
      </c>
      <c r="I3" s="17" t="s">
        <v>17</v>
      </c>
      <c r="J3" s="19">
        <f>IF(OR(E3="F",E3="L"),IF(AND(E3="F",OR(G3="F",G3="L"),OR(G3="F",G3="L")),IF(AND(E3="F",F3="F",G3="F",OR(H3="F",H3="L"),OR(I3="F",I3="L")),3,2),1),0)</f>
        <v>0</v>
      </c>
      <c r="K3" s="4"/>
      <c r="L3" s="17" t="s">
        <v>17</v>
      </c>
      <c r="M3" s="17" t="s">
        <v>17</v>
      </c>
      <c r="N3" s="17" t="s">
        <v>17</v>
      </c>
      <c r="O3" s="17" t="s">
        <v>17</v>
      </c>
      <c r="P3" s="17" t="s">
        <v>17</v>
      </c>
      <c r="Q3" s="19">
        <f>IF(OR(L3="F",L3="L"),IF(AND(L3="F",OR(N3="F",N3="L"),OR(N3="F",N3="L")),IF(AND(L3="F",M3="F",N3="F",OR(O3="F",O3="L"),OR(P3="F",P3="L")),3,2),1),0)</f>
        <v>0</v>
      </c>
      <c r="R3" s="10"/>
      <c r="S3" s="12"/>
      <c r="T3" s="4"/>
    </row>
    <row r="4" spans="2:20" ht="47.45" customHeight="1">
      <c r="B4" s="6" t="s">
        <v>18</v>
      </c>
      <c r="C4" s="9" t="s">
        <v>19</v>
      </c>
      <c r="D4" s="4"/>
      <c r="E4" s="16" t="s">
        <v>17</v>
      </c>
      <c r="F4" s="16" t="s">
        <v>17</v>
      </c>
      <c r="G4" s="16" t="s">
        <v>17</v>
      </c>
      <c r="H4" s="16" t="s">
        <v>17</v>
      </c>
      <c r="I4" s="16" t="s">
        <v>17</v>
      </c>
      <c r="J4" s="19">
        <f t="shared" ref="J4:J8" si="0">IF(OR(E4="F",E4="L"),IF(AND(E4="F",OR(G4="F",G4="L"),OR(G4="F",G4="L")),IF(AND(E4="F",F4="F",G4="F",OR(H4="F",H4="L"),OR(I4="F",I4="L")),3,2),1),0)</f>
        <v>0</v>
      </c>
      <c r="K4" s="4"/>
      <c r="L4" s="17" t="s">
        <v>17</v>
      </c>
      <c r="M4" s="17" t="s">
        <v>17</v>
      </c>
      <c r="N4" s="17" t="s">
        <v>17</v>
      </c>
      <c r="O4" s="17" t="s">
        <v>17</v>
      </c>
      <c r="P4" s="17" t="s">
        <v>17</v>
      </c>
      <c r="Q4" s="19">
        <f t="shared" ref="Q4:Q8" si="1">IF(OR(L4="F",L4="L"),IF(AND(L4="F",OR(N4="F",N4="L"),OR(N4="F",N4="L")),IF(AND(L4="F",M4="F",N4="F",OR(O4="F",O4="L"),OR(P4="F",P4="L")),3,2),1),0)</f>
        <v>0</v>
      </c>
      <c r="R4" s="10"/>
      <c r="S4" s="12"/>
      <c r="T4" s="4"/>
    </row>
    <row r="5" spans="2:20" ht="237.95" customHeight="1">
      <c r="B5" s="6" t="s">
        <v>20</v>
      </c>
      <c r="C5" s="9" t="s">
        <v>21</v>
      </c>
      <c r="D5" s="4"/>
      <c r="E5" s="16" t="s">
        <v>17</v>
      </c>
      <c r="F5" s="16" t="s">
        <v>17</v>
      </c>
      <c r="G5" s="16" t="s">
        <v>17</v>
      </c>
      <c r="H5" s="16" t="s">
        <v>17</v>
      </c>
      <c r="I5" s="16" t="s">
        <v>17</v>
      </c>
      <c r="J5" s="19">
        <f t="shared" si="0"/>
        <v>0</v>
      </c>
      <c r="K5" s="4"/>
      <c r="L5" s="17" t="s">
        <v>17</v>
      </c>
      <c r="M5" s="17" t="s">
        <v>17</v>
      </c>
      <c r="N5" s="17" t="s">
        <v>17</v>
      </c>
      <c r="O5" s="17" t="s">
        <v>17</v>
      </c>
      <c r="P5" s="17" t="s">
        <v>17</v>
      </c>
      <c r="Q5" s="19">
        <f t="shared" si="1"/>
        <v>0</v>
      </c>
      <c r="R5" s="10"/>
      <c r="S5" s="12" t="s">
        <v>51</v>
      </c>
      <c r="T5" s="4"/>
    </row>
    <row r="6" spans="2:20" ht="48" customHeight="1">
      <c r="B6" s="6" t="s">
        <v>22</v>
      </c>
      <c r="C6" s="9" t="s">
        <v>23</v>
      </c>
      <c r="D6" s="4" t="s">
        <v>52</v>
      </c>
      <c r="E6" s="16" t="s">
        <v>17</v>
      </c>
      <c r="F6" s="16" t="s">
        <v>17</v>
      </c>
      <c r="G6" s="16" t="s">
        <v>17</v>
      </c>
      <c r="H6" s="16" t="s">
        <v>17</v>
      </c>
      <c r="I6" s="16" t="s">
        <v>17</v>
      </c>
      <c r="J6" s="19">
        <f t="shared" si="0"/>
        <v>0</v>
      </c>
      <c r="K6" s="4"/>
      <c r="L6" s="17" t="s">
        <v>17</v>
      </c>
      <c r="M6" s="17" t="s">
        <v>17</v>
      </c>
      <c r="N6" s="17" t="s">
        <v>17</v>
      </c>
      <c r="O6" s="17" t="s">
        <v>17</v>
      </c>
      <c r="P6" s="17" t="s">
        <v>17</v>
      </c>
      <c r="Q6" s="19">
        <f t="shared" si="1"/>
        <v>0</v>
      </c>
      <c r="R6" s="10"/>
      <c r="S6" s="12" t="s">
        <v>53</v>
      </c>
      <c r="T6" s="4"/>
    </row>
    <row r="7" spans="2:20" ht="45.6" customHeight="1">
      <c r="B7" s="6" t="s">
        <v>24</v>
      </c>
      <c r="C7" s="9" t="s">
        <v>54</v>
      </c>
      <c r="D7" s="4"/>
      <c r="E7" s="16" t="s">
        <v>17</v>
      </c>
      <c r="F7" s="16" t="s">
        <v>17</v>
      </c>
      <c r="G7" s="16" t="s">
        <v>17</v>
      </c>
      <c r="H7" s="16" t="s">
        <v>17</v>
      </c>
      <c r="I7" s="16" t="s">
        <v>17</v>
      </c>
      <c r="J7" s="19">
        <f t="shared" si="0"/>
        <v>0</v>
      </c>
      <c r="K7" s="4"/>
      <c r="L7" s="17" t="s">
        <v>17</v>
      </c>
      <c r="M7" s="17" t="s">
        <v>17</v>
      </c>
      <c r="N7" s="17" t="s">
        <v>17</v>
      </c>
      <c r="O7" s="17" t="s">
        <v>17</v>
      </c>
      <c r="P7" s="17" t="s">
        <v>17</v>
      </c>
      <c r="Q7" s="19">
        <f t="shared" si="1"/>
        <v>0</v>
      </c>
      <c r="R7" s="12"/>
      <c r="S7" s="12"/>
      <c r="T7" s="4"/>
    </row>
    <row r="8" spans="2:20" ht="120.6" customHeight="1">
      <c r="B8" s="6" t="s">
        <v>26</v>
      </c>
      <c r="C8" s="15" t="s">
        <v>55</v>
      </c>
      <c r="D8" s="4"/>
      <c r="E8" s="16" t="s">
        <v>17</v>
      </c>
      <c r="F8" s="16" t="s">
        <v>17</v>
      </c>
      <c r="G8" s="16" t="s">
        <v>17</v>
      </c>
      <c r="H8" s="16" t="s">
        <v>17</v>
      </c>
      <c r="I8" s="16" t="s">
        <v>17</v>
      </c>
      <c r="J8" s="19">
        <f t="shared" si="0"/>
        <v>0</v>
      </c>
      <c r="K8" s="4"/>
      <c r="L8" s="17" t="s">
        <v>17</v>
      </c>
      <c r="M8" s="17" t="s">
        <v>17</v>
      </c>
      <c r="N8" s="17" t="s">
        <v>17</v>
      </c>
      <c r="O8" s="17" t="s">
        <v>17</v>
      </c>
      <c r="P8" s="17" t="s">
        <v>17</v>
      </c>
      <c r="Q8" s="19">
        <f t="shared" si="1"/>
        <v>0</v>
      </c>
      <c r="R8" s="12"/>
      <c r="S8" s="12" t="s">
        <v>56</v>
      </c>
      <c r="T8" s="4"/>
    </row>
  </sheetData>
  <mergeCells count="6">
    <mergeCell ref="T1:T2"/>
    <mergeCell ref="B1:C1"/>
    <mergeCell ref="D1:J1"/>
    <mergeCell ref="L1:Q1"/>
    <mergeCell ref="R1:R2"/>
    <mergeCell ref="S1:S2"/>
  </mergeCells>
  <conditionalFormatting sqref="E3:I8 L3:P8">
    <cfRule type="cellIs" dxfId="4" priority="6" operator="equal">
      <formula>"-"</formula>
    </cfRule>
    <cfRule type="cellIs" dxfId="3" priority="7" operator="equal">
      <formula>"N"</formula>
    </cfRule>
    <cfRule type="cellIs" dxfId="2" priority="8" operator="equal">
      <formula>"P"</formula>
    </cfRule>
    <cfRule type="cellIs" dxfId="1" priority="9" operator="equal">
      <formula>"L"</formula>
    </cfRule>
    <cfRule type="cellIs" dxfId="0" priority="10" operator="equal">
      <formula>"F"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905183-6964-4281-8364-D943DB3086A1}">
          <x14:formula1>
            <xm:f>'Drop down list'!$E$4:$E$7</xm:f>
          </x14:formula1>
          <xm:sqref>F9:F1048576 M9:M1048576</xm:sqref>
        </x14:dataValidation>
        <x14:dataValidation type="list" allowBlank="1" showInputMessage="1" showErrorMessage="1" xr:uid="{12BACCE4-F3A7-450D-B2B5-B454B586C146}">
          <x14:formula1>
            <xm:f>'Drop down list'!$E$3:$E$7</xm:f>
          </x14:formula1>
          <xm:sqref>L3:P8 E3:I8</xm:sqref>
        </x14:dataValidation>
        <x14:dataValidation type="list" allowBlank="1" showInputMessage="1" showErrorMessage="1" xr:uid="{669B451E-5057-4A04-BAA0-3494AD4371F0}">
          <x14:formula1>
            <xm:f>'Drop down list'!$I$8:$I$9</xm:f>
          </x14:formula1>
          <xm:sqref>D3:D8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692D-97F1-4BD3-9E28-F80F5153184F}">
  <dimension ref="A1:B6"/>
  <sheetViews>
    <sheetView workbookViewId="0">
      <selection activeCell="I24" sqref="I24"/>
    </sheetView>
  </sheetViews>
  <sheetFormatPr defaultRowHeight="14.45"/>
  <cols>
    <col min="2" max="2" width="33.140625" customWidth="1"/>
  </cols>
  <sheetData>
    <row r="1" spans="1:2" ht="24.95" customHeight="1">
      <c r="A1" s="21" t="s">
        <v>6</v>
      </c>
      <c r="B1" s="3" t="s">
        <v>32</v>
      </c>
    </row>
    <row r="2" spans="1:2">
      <c r="A2" s="4" t="s">
        <v>57</v>
      </c>
      <c r="B2" s="4" t="s">
        <v>58</v>
      </c>
    </row>
    <row r="3" spans="1:2">
      <c r="A3" s="4" t="s">
        <v>59</v>
      </c>
      <c r="B3" s="4" t="s">
        <v>60</v>
      </c>
    </row>
    <row r="4" spans="1:2">
      <c r="A4" s="4" t="s">
        <v>61</v>
      </c>
      <c r="B4" s="4" t="s">
        <v>62</v>
      </c>
    </row>
    <row r="5" spans="1:2">
      <c r="A5" s="4" t="s">
        <v>63</v>
      </c>
      <c r="B5" s="4" t="s">
        <v>64</v>
      </c>
    </row>
    <row r="6" spans="1:2">
      <c r="A6" s="4" t="s">
        <v>65</v>
      </c>
      <c r="B6" s="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1C6B-7B0B-4FB7-98A4-1FE4BCDFA5F4}">
  <dimension ref="B2:B59"/>
  <sheetViews>
    <sheetView showGridLines="0" topLeftCell="A36" workbookViewId="0">
      <selection activeCell="D45" sqref="D45"/>
    </sheetView>
  </sheetViews>
  <sheetFormatPr defaultRowHeight="14.45"/>
  <cols>
    <col min="2" max="2" width="107.42578125" style="11" customWidth="1"/>
  </cols>
  <sheetData>
    <row r="2" spans="2:2" ht="30.6" customHeight="1">
      <c r="B2" s="20" t="s">
        <v>67</v>
      </c>
    </row>
    <row r="3" spans="2:2" ht="29.1">
      <c r="B3" s="11" t="s">
        <v>68</v>
      </c>
    </row>
    <row r="5" spans="2:2">
      <c r="B5" s="11" t="s">
        <v>69</v>
      </c>
    </row>
    <row r="34" spans="2:2" ht="18.600000000000001">
      <c r="B34" s="20" t="s">
        <v>70</v>
      </c>
    </row>
    <row r="36" spans="2:2" ht="43.5" customHeight="1">
      <c r="B36" s="11" t="s">
        <v>71</v>
      </c>
    </row>
    <row r="37" spans="2:2">
      <c r="B37" s="11" t="s">
        <v>72</v>
      </c>
    </row>
    <row r="57" spans="2:2">
      <c r="B57" s="11" t="s">
        <v>73</v>
      </c>
    </row>
    <row r="59" spans="2:2">
      <c r="B59" s="11" t="s">
        <v>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393F-5A67-4FE6-A07A-16E1C08A2691}">
  <dimension ref="E3:I9"/>
  <sheetViews>
    <sheetView workbookViewId="0">
      <selection activeCell="E4" sqref="E4"/>
    </sheetView>
  </sheetViews>
  <sheetFormatPr defaultRowHeight="14.45"/>
  <cols>
    <col min="5" max="5" width="17.28515625" bestFit="1" customWidth="1"/>
  </cols>
  <sheetData>
    <row r="3" spans="5:9">
      <c r="E3" s="18" t="s">
        <v>17</v>
      </c>
    </row>
    <row r="4" spans="5:9">
      <c r="E4" t="s">
        <v>75</v>
      </c>
    </row>
    <row r="5" spans="5:9">
      <c r="E5" t="s">
        <v>76</v>
      </c>
    </row>
    <row r="6" spans="5:9">
      <c r="E6" t="s">
        <v>77</v>
      </c>
    </row>
    <row r="7" spans="5:9">
      <c r="E7" t="s">
        <v>78</v>
      </c>
    </row>
    <row r="8" spans="5:9">
      <c r="I8" t="s">
        <v>79</v>
      </c>
    </row>
    <row r="9" spans="5:9">
      <c r="I9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43b1be-fe62-4076-a3ee-1cb3721217e3" xsi:nil="true"/>
    <lcf76f155ced4ddcb4097134ff3c332f xmlns="b1bb6565-0751-4763-9618-26f90953c77f">
      <Terms xmlns="http://schemas.microsoft.com/office/infopath/2007/PartnerControls"/>
    </lcf76f155ced4ddcb4097134ff3c332f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Props1.xml><?xml version="1.0" encoding="utf-8"?>
<ds:datastoreItem xmlns:ds="http://schemas.openxmlformats.org/officeDocument/2006/customXml" ds:itemID="{3C69D0BB-D219-412B-8167-8A5D1CB2E7FC}"/>
</file>

<file path=customXml/itemProps2.xml><?xml version="1.0" encoding="utf-8"?>
<ds:datastoreItem xmlns:ds="http://schemas.openxmlformats.org/officeDocument/2006/customXml" ds:itemID="{8C7109F0-87D0-4EF0-AFB7-CABD4807CD18}"/>
</file>

<file path=customXml/itemProps3.xml><?xml version="1.0" encoding="utf-8"?>
<ds:datastoreItem xmlns:ds="http://schemas.openxmlformats.org/officeDocument/2006/customXml" ds:itemID="{57196BE2-FB3C-4D2A-A0F7-BEF2C3A64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Sahu</dc:creator>
  <cp:keywords/>
  <dc:description/>
  <cp:lastModifiedBy>Purvi  Sahu</cp:lastModifiedBy>
  <cp:revision/>
  <dcterms:created xsi:type="dcterms:W3CDTF">2023-03-06T12:20:01Z</dcterms:created>
  <dcterms:modified xsi:type="dcterms:W3CDTF">2026-07-22T12:31:35Z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0x010100B859AEF028CCFD4D8B43CB48F87F595A</vt:lpwstr>
  </property>
</Properties>
</file>