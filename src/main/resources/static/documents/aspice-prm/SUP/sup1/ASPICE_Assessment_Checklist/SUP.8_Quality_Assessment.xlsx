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84" documentId="8_{E02061F9-2506-409A-A9A0-D54AA7CB68E0}" xr6:coauthVersionLast="47" xr6:coauthVersionMax="47" xr10:uidLastSave="{BFAC9E8F-024A-4AF0-B077-60815A24510D}"/>
  <bookViews>
    <workbookView xWindow="-110" yWindow="-110" windowWidth="19420" windowHeight="10420" firstSheet="1" activeTab="1" xr2:uid="{D5474F9E-31B1-408C-A926-FF9D6FA504EE}"/>
  </bookViews>
  <sheets>
    <sheet name="Base Practices" sheetId="1" r:id="rId1"/>
    <sheet name="Work Products" sheetId="2" r:id="rId2"/>
    <sheet name="Drop down list" sheetId="3" state="hidden" r:id="rId3"/>
    <sheet name="Rating Descrip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J10" i="1"/>
  <c r="Q9" i="1"/>
  <c r="Q8" i="1"/>
  <c r="Q7" i="1"/>
  <c r="Q6" i="1"/>
  <c r="Q5" i="1"/>
  <c r="Q4" i="1"/>
  <c r="Q3" i="1"/>
  <c r="J9" i="1"/>
  <c r="J8" i="1"/>
  <c r="J7" i="1"/>
  <c r="J6" i="1"/>
  <c r="J5" i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3" authorId="0" shapeId="0" xr:uid="{ED49D2EA-7312-4157-B360-D0B25C8355F3}">
      <text>
        <t xml:space="preserve">Define selection criteria for identifying relevant work 
products to be subject to configuration management. Identify and document configuration items 
according to the defined selection criteria.  </t>
      </text>
    </comment>
    <comment ref="C4" authorId="0" shapeId="0" xr:uid="{9F3DD43F-BDFE-472E-B08B-1FF4D5FBD0D5}">
      <text>
        <t xml:space="preserve">Define the necessary properties needed for 
the modification and control of configuration items.  </t>
      </text>
    </comment>
    <comment ref="C5" authorId="0" shapeId="0" xr:uid="{A2852978-DD64-4E34-90C5-6CDCDC301CDB}">
      <text>
        <t>Establish configuration management 
mechanisms for control of identified configuration items including the configuration item 
properties, including mechanisms for controlling parallel modifications of configuration items.</t>
      </text>
    </comment>
    <comment ref="C6" authorId="0" shapeId="0" xr:uid="{72D30CD9-BB69-4A6D-92A8-0B4E721FF241}">
      <text>
        <t xml:space="preserve">Control modifications using the configuration management 
mechanisms. 
</t>
      </text>
    </comment>
    <comment ref="C7" authorId="0" shapeId="0" xr:uid="{8F5B5DA7-5065-4786-98A5-F684E9F157E7}">
      <text>
        <t xml:space="preserve">Define and establish baselines for internal purposes, and for 
external product delivery, for all relevant configuration items. </t>
      </text>
    </comment>
    <comment ref="C8" authorId="0" shapeId="0" xr:uid="{ACA1695E-5753-4BBD-A2E4-3A6BB0AD17F8}">
      <text>
        <t xml:space="preserve">Record, summarize, and 
communicate the status of configuration items and established baselines to affected parties in 
order to support the monitoring of progress and status. </t>
      </text>
    </comment>
    <comment ref="C9" authorId="0" shapeId="0" xr:uid="{0616BC21-10D7-4CDE-A57C-EF62A44DEE13}">
      <text>
        <t>Ensure that the information about 
configuration items is correct and complete including configuration item properties. Ensure the 
completeness and consistency of baselines.</t>
      </text>
    </comment>
    <comment ref="C10" authorId="0" shapeId="0" xr:uid="{365ABE9C-EA13-404C-BCEC-871753320895}">
      <text>
        <t xml:space="preserve">Verify the availability of 
appropriate backup and recovery mechanisms for the configuration management including the 
controlled configuration items. Initiate measures in case of insufficient backup and recovery 
mechanisms.  </t>
      </text>
    </comment>
  </commentList>
</comments>
</file>

<file path=xl/sharedStrings.xml><?xml version="1.0" encoding="utf-8"?>
<sst xmlns="http://schemas.openxmlformats.org/spreadsheetml/2006/main" count="151" uniqueCount="64">
  <si>
    <t>SUPPORTING ENGINEERING PROCESS GROUP</t>
  </si>
  <si>
    <t>Previous Rating</t>
  </si>
  <si>
    <t>Current Evaluation</t>
  </si>
  <si>
    <t>Evidence</t>
  </si>
  <si>
    <t>Remark</t>
  </si>
  <si>
    <t>Target Date</t>
  </si>
  <si>
    <t>SUP.8</t>
  </si>
  <si>
    <t>CONFIGURATION MANAGEMENT</t>
  </si>
  <si>
    <t>In Scope?</t>
  </si>
  <si>
    <t>PA 1.1</t>
  </si>
  <si>
    <t>PA 2.1</t>
  </si>
  <si>
    <t>PA 2.2</t>
  </si>
  <si>
    <t>PA 3.1</t>
  </si>
  <si>
    <t>PA 3.2</t>
  </si>
  <si>
    <t>CL</t>
  </si>
  <si>
    <t>BP1</t>
  </si>
  <si>
    <t>Identify configuration items.</t>
  </si>
  <si>
    <t>-</t>
  </si>
  <si>
    <t>BP2</t>
  </si>
  <si>
    <t>Define configuration item properties.</t>
  </si>
  <si>
    <t>BP3</t>
  </si>
  <si>
    <t>Establish configuration management.</t>
  </si>
  <si>
    <t>BP4</t>
  </si>
  <si>
    <t xml:space="preserve">Control modifications. </t>
  </si>
  <si>
    <t>BP5</t>
  </si>
  <si>
    <t>Establish baselines.</t>
  </si>
  <si>
    <t>BP6</t>
  </si>
  <si>
    <t xml:space="preserve">Summarize and communicate configuration status. </t>
  </si>
  <si>
    <t>BP7</t>
  </si>
  <si>
    <t>Ensure completeness and consistency.</t>
  </si>
  <si>
    <t>BP8</t>
  </si>
  <si>
    <t xml:space="preserve"> Verify backup and recovery mechanisms availability.</t>
  </si>
  <si>
    <t>Configuration Management</t>
  </si>
  <si>
    <t>Responsible</t>
  </si>
  <si>
    <t>18-53</t>
  </si>
  <si>
    <t xml:space="preserve">Configuration item selection criteria </t>
  </si>
  <si>
    <t xml:space="preserve">01-52 </t>
  </si>
  <si>
    <t xml:space="preserve">Configuration item list </t>
  </si>
  <si>
    <t>16-03</t>
  </si>
  <si>
    <t xml:space="preserve">Configuration management system </t>
  </si>
  <si>
    <t>13-08</t>
  </si>
  <si>
    <t>Baseline</t>
  </si>
  <si>
    <t>14-01</t>
  </si>
  <si>
    <t>Change history</t>
  </si>
  <si>
    <t>15-56</t>
  </si>
  <si>
    <t>Configuration Status</t>
  </si>
  <si>
    <t>13-51</t>
  </si>
  <si>
    <t xml:space="preserve">Consistency Evidence </t>
  </si>
  <si>
    <t>06-52</t>
  </si>
  <si>
    <t xml:space="preserve">Backup and recovery mechanism information </t>
  </si>
  <si>
    <t>N</t>
  </si>
  <si>
    <t>P</t>
  </si>
  <si>
    <t>L</t>
  </si>
  <si>
    <t>F</t>
  </si>
  <si>
    <t>Yes</t>
  </si>
  <si>
    <t>No</t>
  </si>
  <si>
    <t>PROCESS ATTRIBUTES (PA)</t>
  </si>
  <si>
    <t>Process attributes are features of a process that can be evaluated on a scale of achievement, providing a measure of the capability of the process. They are applicable to all processes.</t>
  </si>
  <si>
    <t>According to ISO/IEC 33020 there are six capability levels, incorporating nine process attributes:</t>
  </si>
  <si>
    <t>RATING SCALE</t>
  </si>
  <si>
    <r>
      <rPr>
        <sz val="12"/>
        <color theme="1"/>
        <rFont val="Calibri"/>
        <family val="2"/>
        <scheme val="minor"/>
      </rPr>
      <t>Within this process measurement framework, a process attribute is a measureable property of process capability. A process attribute rating is a judgement of the degree of achievement of the process attribute for the assessed process.</t>
    </r>
    <r>
      <rPr>
        <sz val="11"/>
        <color theme="1"/>
        <rFont val="Calibri"/>
        <family val="2"/>
        <scheme val="minor"/>
      </rPr>
      <t xml:space="preserve">
</t>
    </r>
  </si>
  <si>
    <t>The rating scale is defined by ISO/IEC 33020 as shown in table below:</t>
  </si>
  <si>
    <t>The ordinal scale defined above shall be understood in terms of percentage achievement of a process attribute.</t>
  </si>
  <si>
    <t>The corresponding percentages shall be: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</si>
</sst>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1" xfId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6" fillId="0" borderId="1" xfId="0" quotePrefix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0" fillId="0" borderId="0" xfId="0" quotePrefix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6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5" xfId="0" quotePrefix="1" applyBorder="1" applyAlignment="1">
      <alignment horizontal="left"/>
    </xf>
    <xf numFmtId="0" fontId="0" fillId="0" borderId="4" xfId="0" applyBorder="1" applyAlignment="1">
      <alignment horizontal="left"/>
    </xf>
    <xf numFmtId="17" fontId="0" fillId="0" borderId="4" xfId="0" quotePrefix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</xdr:row>
      <xdr:rowOff>101600</xdr:rowOff>
    </xdr:from>
    <xdr:to>
      <xdr:col>2</xdr:col>
      <xdr:colOff>370</xdr:colOff>
      <xdr:row>28</xdr:row>
      <xdr:rowOff>165311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A28BE-CE34-4B13-BEB2-49031006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593850"/>
          <a:ext cx="7201270" cy="41150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38</xdr:row>
      <xdr:rowOff>12700</xdr:rowOff>
    </xdr:from>
    <xdr:to>
      <xdr:col>2</xdr:col>
      <xdr:colOff>3548</xdr:colOff>
      <xdr:row>54</xdr:row>
      <xdr:rowOff>19202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7A117-5B4C-4848-9A2B-49EF6CD1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816850"/>
          <a:ext cx="7213973" cy="29529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65</xdr:row>
      <xdr:rowOff>165156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EB49EA-3A42-46D3-9E0F-DB249ADBD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855450"/>
          <a:ext cx="7296150" cy="1085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3BE-1F69-480A-845D-5483A33406FF}">
  <dimension ref="B1:T11"/>
  <sheetViews>
    <sheetView showGridLines="0" topLeftCell="A7" zoomScaleNormal="100" workbookViewId="0">
      <selection activeCell="A11" sqref="A11:XFD11"/>
    </sheetView>
  </sheetViews>
  <sheetFormatPr defaultRowHeight="14.45"/>
  <cols>
    <col min="3" max="3" width="72.140625" style="1" customWidth="1"/>
    <col min="4" max="4" width="18.28515625" style="2" customWidth="1"/>
    <col min="5" max="5" width="16.140625" bestFit="1" customWidth="1"/>
    <col min="6" max="6" width="18.85546875" customWidth="1"/>
    <col min="7" max="7" width="17.28515625" bestFit="1" customWidth="1"/>
    <col min="8" max="8" width="17" customWidth="1"/>
    <col min="9" max="9" width="15.85546875" customWidth="1"/>
    <col min="10" max="10" width="16.42578125" customWidth="1"/>
    <col min="12" max="12" width="17.140625" customWidth="1"/>
    <col min="13" max="13" width="18.85546875" customWidth="1"/>
    <col min="14" max="14" width="15.85546875" customWidth="1"/>
    <col min="15" max="15" width="16.7109375" customWidth="1"/>
    <col min="16" max="16" width="16.5703125" customWidth="1"/>
    <col min="17" max="17" width="18.7109375" customWidth="1"/>
    <col min="18" max="18" width="16.85546875" customWidth="1"/>
    <col min="19" max="19" width="26" style="9" customWidth="1"/>
    <col min="20" max="20" width="22.140625" customWidth="1"/>
    <col min="21" max="21" width="13.28515625" customWidth="1"/>
  </cols>
  <sheetData>
    <row r="1" spans="2:20" ht="20.100000000000001" customHeight="1">
      <c r="B1" s="20" t="s">
        <v>0</v>
      </c>
      <c r="C1" s="21"/>
      <c r="D1" s="18" t="s">
        <v>1</v>
      </c>
      <c r="E1" s="18"/>
      <c r="F1" s="18"/>
      <c r="G1" s="18"/>
      <c r="H1" s="18"/>
      <c r="I1" s="18"/>
      <c r="J1" s="18"/>
      <c r="L1" s="18" t="s">
        <v>2</v>
      </c>
      <c r="M1" s="18"/>
      <c r="N1" s="18"/>
      <c r="O1" s="18"/>
      <c r="P1" s="18"/>
      <c r="Q1" s="18"/>
      <c r="R1" s="19" t="s">
        <v>3</v>
      </c>
      <c r="S1" s="19" t="s">
        <v>4</v>
      </c>
      <c r="T1" s="19" t="s">
        <v>5</v>
      </c>
    </row>
    <row r="2" spans="2:20" ht="27.6" customHeight="1">
      <c r="B2" s="11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2"/>
      <c r="L2" s="12" t="s">
        <v>9</v>
      </c>
      <c r="M2" s="12" t="s">
        <v>10</v>
      </c>
      <c r="N2" s="12" t="s">
        <v>11</v>
      </c>
      <c r="O2" s="12" t="s">
        <v>12</v>
      </c>
      <c r="P2" s="12" t="s">
        <v>13</v>
      </c>
      <c r="Q2" s="12" t="s">
        <v>14</v>
      </c>
      <c r="R2" s="19"/>
      <c r="S2" s="19"/>
      <c r="T2" s="19"/>
    </row>
    <row r="3" spans="2:20" ht="53.45" customHeight="1">
      <c r="B3" s="6" t="s">
        <v>15</v>
      </c>
      <c r="C3" s="7" t="s">
        <v>16</v>
      </c>
      <c r="D3" s="4"/>
      <c r="E3" s="13" t="s">
        <v>17</v>
      </c>
      <c r="F3" s="13" t="s">
        <v>17</v>
      </c>
      <c r="G3" s="13" t="s">
        <v>17</v>
      </c>
      <c r="H3" s="13" t="s">
        <v>17</v>
      </c>
      <c r="I3" s="13" t="s">
        <v>17</v>
      </c>
      <c r="J3" s="14">
        <f t="shared" ref="J3:J9" si="0">IF(OR(E3="F",E3="L"),IF(AND(E3="F",OR(G3="F",G3="L"),OR(G3="F",G3="L")),IF(AND(E3="F",F3="F",G3="F",OR(H3="F",H3="L"),OR(I3="F",I3="L")),3,2),1),0)</f>
        <v>0</v>
      </c>
      <c r="K3" s="4"/>
      <c r="L3" s="13" t="s">
        <v>17</v>
      </c>
      <c r="M3" s="13" t="s">
        <v>17</v>
      </c>
      <c r="N3" s="13" t="s">
        <v>17</v>
      </c>
      <c r="O3" s="13" t="s">
        <v>17</v>
      </c>
      <c r="P3" s="13" t="s">
        <v>17</v>
      </c>
      <c r="Q3" s="14">
        <f t="shared" ref="Q3:Q9" si="1">IF(OR(L3="F",L3="L"),IF(AND(L3="F",OR(N3="F",N3="L"),OR(N3="F",N3="L")),IF(AND(L3="F",M3="F",N3="F",OR(O3="F",O3="L"),OR(P3="F",P3="L")),3,2),1),0)</f>
        <v>0</v>
      </c>
      <c r="R3" s="8"/>
      <c r="S3" s="10"/>
      <c r="T3" s="4"/>
    </row>
    <row r="4" spans="2:20" ht="74.099999999999994" customHeight="1">
      <c r="B4" s="6" t="s">
        <v>18</v>
      </c>
      <c r="C4" s="4" t="s">
        <v>19</v>
      </c>
      <c r="D4" s="4"/>
      <c r="E4" s="13" t="s">
        <v>17</v>
      </c>
      <c r="F4" s="13" t="s">
        <v>17</v>
      </c>
      <c r="G4" s="13" t="s">
        <v>17</v>
      </c>
      <c r="H4" s="13" t="s">
        <v>17</v>
      </c>
      <c r="I4" s="13" t="s">
        <v>17</v>
      </c>
      <c r="J4" s="14">
        <f t="shared" si="0"/>
        <v>0</v>
      </c>
      <c r="K4" s="4"/>
      <c r="L4" s="13" t="s">
        <v>17</v>
      </c>
      <c r="M4" s="13" t="s">
        <v>17</v>
      </c>
      <c r="N4" s="13" t="s">
        <v>17</v>
      </c>
      <c r="O4" s="13" t="s">
        <v>17</v>
      </c>
      <c r="P4" s="13" t="s">
        <v>17</v>
      </c>
      <c r="Q4" s="14">
        <f t="shared" si="1"/>
        <v>0</v>
      </c>
      <c r="R4" s="8"/>
      <c r="S4" s="10"/>
      <c r="T4" s="4"/>
    </row>
    <row r="5" spans="2:20" ht="72.599999999999994" customHeight="1">
      <c r="B5" s="6" t="s">
        <v>20</v>
      </c>
      <c r="C5" t="s">
        <v>21</v>
      </c>
      <c r="D5" s="4"/>
      <c r="E5" s="13" t="s">
        <v>17</v>
      </c>
      <c r="F5" s="13" t="s">
        <v>17</v>
      </c>
      <c r="G5" s="13" t="s">
        <v>17</v>
      </c>
      <c r="H5" s="13" t="s">
        <v>17</v>
      </c>
      <c r="I5" s="13" t="s">
        <v>17</v>
      </c>
      <c r="J5" s="14">
        <f t="shared" si="0"/>
        <v>0</v>
      </c>
      <c r="K5" s="4"/>
      <c r="L5" s="13" t="s">
        <v>17</v>
      </c>
      <c r="M5" s="13" t="s">
        <v>17</v>
      </c>
      <c r="N5" s="13" t="s">
        <v>17</v>
      </c>
      <c r="O5" s="13" t="s">
        <v>17</v>
      </c>
      <c r="P5" s="13" t="s">
        <v>17</v>
      </c>
      <c r="Q5" s="14">
        <f t="shared" si="1"/>
        <v>0</v>
      </c>
      <c r="R5" s="8"/>
      <c r="S5" s="10"/>
      <c r="T5" s="4"/>
    </row>
    <row r="6" spans="2:20" ht="74.45" customHeight="1">
      <c r="B6" s="6" t="s">
        <v>22</v>
      </c>
      <c r="C6" s="4" t="s">
        <v>23</v>
      </c>
      <c r="D6" s="4"/>
      <c r="E6" s="13" t="s">
        <v>17</v>
      </c>
      <c r="F6" s="13" t="s">
        <v>17</v>
      </c>
      <c r="G6" s="13" t="s">
        <v>17</v>
      </c>
      <c r="H6" s="13" t="s">
        <v>17</v>
      </c>
      <c r="I6" s="13" t="s">
        <v>17</v>
      </c>
      <c r="J6" s="14">
        <f t="shared" si="0"/>
        <v>0</v>
      </c>
      <c r="K6" s="4"/>
      <c r="L6" s="13" t="s">
        <v>17</v>
      </c>
      <c r="M6" s="13" t="s">
        <v>17</v>
      </c>
      <c r="N6" s="13" t="s">
        <v>17</v>
      </c>
      <c r="O6" s="13" t="s">
        <v>17</v>
      </c>
      <c r="P6" s="13" t="s">
        <v>17</v>
      </c>
      <c r="Q6" s="14">
        <f t="shared" si="1"/>
        <v>0</v>
      </c>
      <c r="R6" s="8"/>
      <c r="S6" s="10"/>
      <c r="T6" s="4"/>
    </row>
    <row r="7" spans="2:20" ht="60" customHeight="1">
      <c r="B7" s="6" t="s">
        <v>24</v>
      </c>
      <c r="C7" s="7" t="s">
        <v>25</v>
      </c>
      <c r="D7" s="4"/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4">
        <f t="shared" si="0"/>
        <v>0</v>
      </c>
      <c r="K7" s="4"/>
      <c r="L7" s="13" t="s">
        <v>17</v>
      </c>
      <c r="M7" s="13" t="s">
        <v>17</v>
      </c>
      <c r="N7" s="13" t="s">
        <v>17</v>
      </c>
      <c r="O7" s="13" t="s">
        <v>17</v>
      </c>
      <c r="P7" s="13" t="s">
        <v>17</v>
      </c>
      <c r="Q7" s="14">
        <f t="shared" si="1"/>
        <v>0</v>
      </c>
      <c r="R7" s="10"/>
      <c r="S7" s="10"/>
      <c r="T7" s="4"/>
    </row>
    <row r="8" spans="2:20" ht="63.6" customHeight="1">
      <c r="B8" s="6" t="s">
        <v>26</v>
      </c>
      <c r="C8" s="7" t="s">
        <v>27</v>
      </c>
      <c r="D8" s="4"/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4">
        <f t="shared" si="0"/>
        <v>0</v>
      </c>
      <c r="K8" s="4"/>
      <c r="L8" s="13" t="s">
        <v>17</v>
      </c>
      <c r="M8" s="13" t="s">
        <v>17</v>
      </c>
      <c r="N8" s="13" t="s">
        <v>17</v>
      </c>
      <c r="O8" s="13" t="s">
        <v>17</v>
      </c>
      <c r="P8" s="13" t="s">
        <v>17</v>
      </c>
      <c r="Q8" s="14">
        <f t="shared" si="1"/>
        <v>0</v>
      </c>
      <c r="R8" s="10"/>
      <c r="S8" s="10"/>
      <c r="T8" s="4"/>
    </row>
    <row r="9" spans="2:20" ht="52.5" customHeight="1">
      <c r="B9" s="6" t="s">
        <v>28</v>
      </c>
      <c r="C9" s="7" t="s">
        <v>29</v>
      </c>
      <c r="D9" s="4"/>
      <c r="E9" s="13" t="s">
        <v>17</v>
      </c>
      <c r="F9" s="13" t="s">
        <v>17</v>
      </c>
      <c r="G9" s="13" t="s">
        <v>17</v>
      </c>
      <c r="H9" s="13" t="s">
        <v>17</v>
      </c>
      <c r="I9" s="13" t="s">
        <v>17</v>
      </c>
      <c r="J9" s="14">
        <f t="shared" si="0"/>
        <v>0</v>
      </c>
      <c r="K9" s="4"/>
      <c r="L9" s="13" t="s">
        <v>17</v>
      </c>
      <c r="M9" s="13" t="s">
        <v>17</v>
      </c>
      <c r="N9" s="13" t="s">
        <v>17</v>
      </c>
      <c r="O9" s="13" t="s">
        <v>17</v>
      </c>
      <c r="P9" s="13" t="s">
        <v>17</v>
      </c>
      <c r="Q9" s="14">
        <f t="shared" si="1"/>
        <v>0</v>
      </c>
      <c r="R9" s="10"/>
      <c r="S9" s="10"/>
      <c r="T9" s="4"/>
    </row>
    <row r="10" spans="2:20" ht="52.5" customHeight="1">
      <c r="B10" s="6" t="s">
        <v>30</v>
      </c>
      <c r="C10" s="7" t="s">
        <v>31</v>
      </c>
      <c r="D10" s="4"/>
      <c r="E10" s="13" t="s">
        <v>17</v>
      </c>
      <c r="F10" s="13" t="s">
        <v>17</v>
      </c>
      <c r="G10" s="13" t="s">
        <v>17</v>
      </c>
      <c r="H10" s="13" t="s">
        <v>17</v>
      </c>
      <c r="I10" s="13" t="s">
        <v>17</v>
      </c>
      <c r="J10" s="14">
        <f t="shared" ref="J10" si="2">IF(OR(E10="F",E10="L"),IF(AND(E10="F",OR(G10="F",G10="L"),OR(G10="F",G10="L")),IF(AND(E10="F",F10="F",G10="F",OR(H10="F",H10="L"),OR(I10="F",I10="L")),3,2),1),0)</f>
        <v>0</v>
      </c>
      <c r="K10" s="4"/>
      <c r="L10" s="13" t="s">
        <v>17</v>
      </c>
      <c r="M10" s="13" t="s">
        <v>17</v>
      </c>
      <c r="N10" s="13" t="s">
        <v>17</v>
      </c>
      <c r="O10" s="13" t="s">
        <v>17</v>
      </c>
      <c r="P10" s="13" t="s">
        <v>17</v>
      </c>
      <c r="Q10" s="14">
        <f t="shared" ref="Q10" si="3">IF(OR(L10="F",L10="L"),IF(AND(L10="F",OR(N10="F",N10="L"),OR(N10="F",N10="L")),IF(AND(L10="F",M10="F",N10="F",OR(O10="F",O10="L"),OR(P10="F",P10="L")),3,2),1),0)</f>
        <v>0</v>
      </c>
      <c r="R10" s="10"/>
      <c r="S10" s="10"/>
      <c r="T10" s="4"/>
    </row>
    <row r="11" spans="2:20" ht="15"/>
  </sheetData>
  <mergeCells count="6">
    <mergeCell ref="L1:Q1"/>
    <mergeCell ref="R1:R2"/>
    <mergeCell ref="S1:S2"/>
    <mergeCell ref="T1:T2"/>
    <mergeCell ref="B1:C1"/>
    <mergeCell ref="D1:J1"/>
  </mergeCells>
  <phoneticPr fontId="1" type="noConversion"/>
  <conditionalFormatting sqref="E3:I10">
    <cfRule type="cellIs" dxfId="9" priority="6" operator="equal">
      <formula>"-"</formula>
    </cfRule>
    <cfRule type="cellIs" dxfId="8" priority="7" operator="equal">
      <formula>"N"</formula>
    </cfRule>
    <cfRule type="cellIs" dxfId="7" priority="8" operator="equal">
      <formula>"P"</formula>
    </cfRule>
    <cfRule type="cellIs" dxfId="6" priority="9" operator="equal">
      <formula>"L"</formula>
    </cfRule>
    <cfRule type="cellIs" dxfId="5" priority="10" operator="equal">
      <formula>"F"</formula>
    </cfRule>
  </conditionalFormatting>
  <conditionalFormatting sqref="L3:P10">
    <cfRule type="cellIs" dxfId="4" priority="1" operator="equal">
      <formula>"-"</formula>
    </cfRule>
    <cfRule type="cellIs" dxfId="3" priority="2" operator="equal">
      <formula>"N"</formula>
    </cfRule>
    <cfRule type="cellIs" dxfId="2" priority="3" operator="equal">
      <formula>"P"</formula>
    </cfRule>
    <cfRule type="cellIs" dxfId="1" priority="4" operator="equal">
      <formula>"L"</formula>
    </cfRule>
    <cfRule type="cellIs" dxfId="0" priority="5" operator="equal">
      <formula>"F"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D298F5-118B-43C9-ACA1-5C0F8DEF9AC7}">
          <x14:formula1>
            <xm:f>'Drop down list'!$E$4:$E$7</xm:f>
          </x14:formula1>
          <xm:sqref>M11:M1048576 F11:F1048576</xm:sqref>
        </x14:dataValidation>
        <x14:dataValidation type="list" allowBlank="1" showInputMessage="1" showErrorMessage="1" xr:uid="{68629ED1-0123-4601-9A10-87780FF5A395}">
          <x14:formula1>
            <xm:f>'Drop down list'!$I$8:$I$9</xm:f>
          </x14:formula1>
          <xm:sqref>D3:D10</xm:sqref>
        </x14:dataValidation>
        <x14:dataValidation type="list" allowBlank="1" showInputMessage="1" showErrorMessage="1" xr:uid="{A9E86DB0-11B7-422E-9B0E-EF80AA4F64CA}">
          <x14:formula1>
            <xm:f>'Drop down list'!$E$3:$E$7</xm:f>
          </x14:formula1>
          <xm:sqref>L3:P10 E3:I10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6ED-0D28-4FDA-BE25-EB867EA5B05C}">
  <dimension ref="A1:C9"/>
  <sheetViews>
    <sheetView showGridLines="0" tabSelected="1" workbookViewId="0">
      <selection activeCell="B13" sqref="B13"/>
    </sheetView>
  </sheetViews>
  <sheetFormatPr defaultRowHeight="14.45"/>
  <cols>
    <col min="1" max="1" width="9.140625" style="2"/>
    <col min="2" max="2" width="43.140625" customWidth="1"/>
    <col min="3" max="3" width="30.7109375" customWidth="1"/>
    <col min="4" max="4" width="19.85546875" bestFit="1" customWidth="1"/>
  </cols>
  <sheetData>
    <row r="1" spans="1:3" ht="18.95" customHeight="1">
      <c r="A1" s="5" t="s">
        <v>6</v>
      </c>
      <c r="B1" s="5" t="s">
        <v>32</v>
      </c>
      <c r="C1" s="3" t="s">
        <v>33</v>
      </c>
    </row>
    <row r="2" spans="1:3">
      <c r="A2" s="24" t="s">
        <v>34</v>
      </c>
      <c r="B2" s="4" t="s">
        <v>35</v>
      </c>
      <c r="C2" s="4"/>
    </row>
    <row r="3" spans="1:3">
      <c r="A3" s="24" t="s">
        <v>36</v>
      </c>
      <c r="B3" s="4" t="s">
        <v>37</v>
      </c>
      <c r="C3" s="4"/>
    </row>
    <row r="4" spans="1:3" ht="15.6" customHeight="1">
      <c r="A4" s="24" t="s">
        <v>38</v>
      </c>
      <c r="B4" s="4" t="s">
        <v>39</v>
      </c>
      <c r="C4" s="4"/>
    </row>
    <row r="5" spans="1:3">
      <c r="A5" s="24" t="s">
        <v>40</v>
      </c>
      <c r="B5" s="4" t="s">
        <v>41</v>
      </c>
      <c r="C5" s="4"/>
    </row>
    <row r="6" spans="1:3">
      <c r="A6" s="25" t="s">
        <v>42</v>
      </c>
      <c r="B6" s="4" t="s">
        <v>43</v>
      </c>
      <c r="C6" s="4"/>
    </row>
    <row r="7" spans="1:3">
      <c r="A7" s="26" t="s">
        <v>44</v>
      </c>
      <c r="B7" s="23" t="s">
        <v>45</v>
      </c>
      <c r="C7" s="23"/>
    </row>
    <row r="8" spans="1:3" ht="15">
      <c r="A8" s="27" t="s">
        <v>46</v>
      </c>
      <c r="B8" s="22" t="s">
        <v>47</v>
      </c>
      <c r="C8" s="22"/>
    </row>
    <row r="9" spans="1:3">
      <c r="A9" s="28" t="s">
        <v>48</v>
      </c>
      <c r="B9" s="22" t="s">
        <v>49</v>
      </c>
      <c r="C9" s="2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393F-5A67-4FE6-A07A-16E1C08A2691}">
  <dimension ref="E3:I9"/>
  <sheetViews>
    <sheetView workbookViewId="0">
      <selection activeCell="E4" sqref="E4"/>
    </sheetView>
  </sheetViews>
  <sheetFormatPr defaultRowHeight="14.45"/>
  <cols>
    <col min="5" max="5" width="17.28515625" bestFit="1" customWidth="1"/>
  </cols>
  <sheetData>
    <row r="3" spans="5:9">
      <c r="E3" s="15" t="s">
        <v>17</v>
      </c>
    </row>
    <row r="4" spans="5:9">
      <c r="E4" t="s">
        <v>50</v>
      </c>
    </row>
    <row r="5" spans="5:9">
      <c r="E5" t="s">
        <v>51</v>
      </c>
    </row>
    <row r="6" spans="5:9">
      <c r="E6" t="s">
        <v>52</v>
      </c>
    </row>
    <row r="7" spans="5:9">
      <c r="E7" t="s">
        <v>53</v>
      </c>
    </row>
    <row r="8" spans="5:9">
      <c r="I8" t="s">
        <v>54</v>
      </c>
    </row>
    <row r="9" spans="5:9">
      <c r="I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34C4-EA83-453F-88BD-15291579FAC0}">
  <dimension ref="B2:B59"/>
  <sheetViews>
    <sheetView showGridLines="0" topLeftCell="A4" workbookViewId="0">
      <selection activeCell="F12" sqref="F12"/>
    </sheetView>
  </sheetViews>
  <sheetFormatPr defaultRowHeight="14.45"/>
  <cols>
    <col min="2" max="2" width="107.42578125" style="9" customWidth="1"/>
  </cols>
  <sheetData>
    <row r="2" spans="2:2" ht="30.6" customHeight="1">
      <c r="B2" s="16" t="s">
        <v>56</v>
      </c>
    </row>
    <row r="3" spans="2:2" ht="30.95">
      <c r="B3" s="17" t="s">
        <v>57</v>
      </c>
    </row>
    <row r="5" spans="2:2" ht="15.6">
      <c r="B5" s="17" t="s">
        <v>58</v>
      </c>
    </row>
    <row r="34" spans="2:2" ht="18.600000000000001">
      <c r="B34" s="16" t="s">
        <v>59</v>
      </c>
    </row>
    <row r="36" spans="2:2" ht="43.5" customHeight="1">
      <c r="B36" s="9" t="s">
        <v>60</v>
      </c>
    </row>
    <row r="37" spans="2:2" ht="15.6">
      <c r="B37" s="17" t="s">
        <v>61</v>
      </c>
    </row>
    <row r="57" spans="2:2" ht="15.6">
      <c r="B57" s="17" t="s">
        <v>62</v>
      </c>
    </row>
    <row r="59" spans="2:2" ht="15.6">
      <c r="B59" s="17" t="s">
        <v>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43b1be-fe62-4076-a3ee-1cb3721217e3" xsi:nil="true"/>
    <lcf76f155ced4ddcb4097134ff3c332f xmlns="b1bb6565-0751-4763-9618-26f90953c77f">
      <Terms xmlns="http://schemas.microsoft.com/office/infopath/2007/PartnerControls"/>
    </lcf76f155ced4ddcb4097134ff3c332f>
    <Decomposed_From xmlns="b1bb6565-0751-4763-9618-26f90953c77f">
      <Url xsi:nil="true"/>
      <Description xsi:nil="true"/>
    </Decomposed_From>
    <Release_Status xmlns="b1bb6565-0751-4763-9618-26f90953c77f">false</Release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96BE2-FB3C-4D2A-A0F7-BEF2C3A64647}"/>
</file>

<file path=customXml/itemProps2.xml><?xml version="1.0" encoding="utf-8"?>
<ds:datastoreItem xmlns:ds="http://schemas.openxmlformats.org/officeDocument/2006/customXml" ds:itemID="{FF24A3A7-6782-41BA-AD9C-A3946D63BCC8}"/>
</file>

<file path=customXml/itemProps3.xml><?xml version="1.0" encoding="utf-8"?>
<ds:datastoreItem xmlns:ds="http://schemas.openxmlformats.org/officeDocument/2006/customXml" ds:itemID="{8C7109F0-87D0-4EF0-AFB7-CABD4807C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Sahu</dc:creator>
  <cp:keywords/>
  <dc:description/>
  <cp:lastModifiedBy>Purvi  Sahu</cp:lastModifiedBy>
  <cp:revision/>
  <dcterms:created xsi:type="dcterms:W3CDTF">2023-03-06T12:20:01Z</dcterms:created>
  <dcterms:modified xsi:type="dcterms:W3CDTF">2026-07-23T08:59:58Z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0x010100B859AEF028CCFD4D8B43CB48F87F595A</vt:lpwstr>
  </property>
</Properties>
</file>