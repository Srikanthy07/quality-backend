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54" documentId="13_ncr:1_{0A796C49-E43D-4C5B-852C-B6AF8DA68DEF}" xr6:coauthVersionLast="47" xr6:coauthVersionMax="47" xr10:uidLastSave="{043E1A6F-29A4-434E-BB06-552DF991ED88}"/>
  <bookViews>
    <workbookView xWindow="28680" yWindow="-120" windowWidth="29040" windowHeight="15840" firstSheet="3" activeTab="3" xr2:uid="{D5474F9E-31B1-408C-A926-FF9D6FA504EE}"/>
  </bookViews>
  <sheets>
    <sheet name="BasePractices_ASPICEv3.1" sheetId="1" state="hidden" r:id="rId1"/>
    <sheet name="WorkProducts_ASPICEv3.1" sheetId="2" state="hidden" r:id="rId2"/>
    <sheet name="Drop down list" sheetId="3" state="hidden" r:id="rId3"/>
    <sheet name="BasePractices_ASPICEv4.0" sheetId="6" r:id="rId4"/>
    <sheet name="WorkProducts_ASPICEv4.0" sheetId="7" r:id="rId5"/>
    <sheet name="Rating Description"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6" l="1"/>
  <c r="J7" i="6"/>
  <c r="Q6" i="6"/>
  <c r="J6" i="6"/>
  <c r="Q5" i="6"/>
  <c r="J5" i="6"/>
  <c r="Q4" i="6"/>
  <c r="J4" i="6"/>
  <c r="Q3" i="6"/>
  <c r="J3" i="6"/>
  <c r="Q11" i="1"/>
  <c r="J11" i="1"/>
  <c r="Q10" i="1"/>
  <c r="Q9" i="1"/>
  <c r="Q8" i="1"/>
  <c r="Q7" i="1"/>
  <c r="Q6" i="1"/>
  <c r="Q5" i="1"/>
  <c r="Q4" i="1"/>
  <c r="Q3" i="1"/>
  <c r="J10" i="1"/>
  <c r="J9" i="1"/>
  <c r="J8" i="1"/>
  <c r="J7" i="1"/>
  <c r="J6" i="1"/>
  <c r="J5" i="1"/>
  <c r="J4"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r>
          <rPr>
            <b/>
            <sz val="9"/>
            <color indexed="81"/>
            <rFont val="Tahoma"/>
            <family val="2"/>
          </rPr>
          <t>Purvi Sahu:</t>
        </r>
        <r>
          <rPr>
            <sz val="9"/>
            <color indexed="81"/>
            <rFont val="Tahoma"/>
            <family val="2"/>
          </rPr>
          <t xml:space="preserve">
Develop and document the software architectural design that specifies the elements of the software with respect to functional and non-functional software requirements</t>
        </r>
      </text>
    </comment>
    <comment ref="C4" authorId="0" shapeId="0" xr:uid="{9F3DD43F-BDFE-472E-B08B-1FF4D5FBD0D5}">
      <text>
        <r>
          <rPr>
            <b/>
            <sz val="9"/>
            <color indexed="81"/>
            <rFont val="Tahoma"/>
            <family val="2"/>
          </rPr>
          <t>Purvi Sahu:</t>
        </r>
        <r>
          <rPr>
            <sz val="9"/>
            <color indexed="81"/>
            <rFont val="Tahoma"/>
            <family val="2"/>
          </rPr>
          <t xml:space="preserve">
Allocate the software requirements to the elements of the software architectural design.</t>
        </r>
      </text>
    </comment>
    <comment ref="C5" authorId="0" shapeId="0" xr:uid="{A2852978-DD64-4E34-90C5-6CDCDC301CDB}">
      <text>
        <r>
          <rPr>
            <b/>
            <sz val="9"/>
            <color indexed="81"/>
            <rFont val="Tahoma"/>
            <family val="2"/>
          </rPr>
          <t>Purvi Sahu:</t>
        </r>
        <r>
          <rPr>
            <sz val="9"/>
            <color indexed="81"/>
            <rFont val="Tahoma"/>
            <family val="2"/>
          </rPr>
          <t xml:space="preserve">
Identify, develop and document the interfaces of each software element.</t>
        </r>
      </text>
    </comment>
    <comment ref="C6" authorId="0" shapeId="0" xr:uid="{72D30CD9-BB69-4A6D-92A8-0B4E721FF241}">
      <text>
        <r>
          <rPr>
            <b/>
            <sz val="9"/>
            <color indexed="81"/>
            <rFont val="Tahoma"/>
            <family val="2"/>
          </rPr>
          <t>Purvi Sahu:</t>
        </r>
        <r>
          <rPr>
            <sz val="9"/>
            <color indexed="81"/>
            <rFont val="Tahoma"/>
            <family val="2"/>
          </rPr>
          <t xml:space="preserve">
Evaluate and document the timing and dynamic interaction of software elements to meet the required dynamic behavior of the system.</t>
        </r>
      </text>
    </comment>
    <comment ref="C7" authorId="0" shapeId="0" xr:uid="{8F5B5DA7-5065-4786-98A5-F684E9F157E7}">
      <text>
        <r>
          <rPr>
            <b/>
            <sz val="9"/>
            <color indexed="81"/>
            <rFont val="Tahoma"/>
            <family val="2"/>
          </rPr>
          <t>Purvi Sahu:</t>
        </r>
        <r>
          <rPr>
            <sz val="9"/>
            <color indexed="81"/>
            <rFont val="Tahoma"/>
            <family val="2"/>
          </rPr>
          <t xml:space="preserve">
Determine and document the resource consumption objectives for all relevant elements of the software architectural design on the appropriate hierarchical level</t>
        </r>
      </text>
    </comment>
    <comment ref="C8" authorId="0" shapeId="0" xr:uid="{ACA1695E-5753-4BBD-A2E4-3A6BB0AD17F8}">
      <text>
        <r>
          <rPr>
            <b/>
            <sz val="9"/>
            <color indexed="81"/>
            <rFont val="Tahoma"/>
            <family val="2"/>
          </rPr>
          <t>Purvi Sahu:</t>
        </r>
        <r>
          <rPr>
            <sz val="9"/>
            <color indexed="81"/>
            <rFont val="Tahoma"/>
            <family val="2"/>
          </rPr>
          <t xml:space="preserve">
Define evaluation criteria for the architecture. Evaluate alternative software architectures according to the defined criteria. Record the rationale for the chosen software architecture</t>
        </r>
      </text>
    </comment>
    <comment ref="C9" authorId="0" shapeId="0" xr:uid="{0616BC21-10D7-4CDE-A57C-EF62A44DEE13}">
      <text>
        <r>
          <rPr>
            <b/>
            <sz val="9"/>
            <color indexed="81"/>
            <rFont val="Tahoma"/>
            <family val="2"/>
          </rPr>
          <t>Purvi Sahu:</t>
        </r>
        <r>
          <rPr>
            <sz val="9"/>
            <color indexed="81"/>
            <rFont val="Tahoma"/>
            <family val="2"/>
          </rPr>
          <t xml:space="preserve">
Establish bidirectional traceability between software requirements and elements of the software architectural design</t>
        </r>
      </text>
    </comment>
    <comment ref="C10" authorId="0" shapeId="0" xr:uid="{71D28391-28D7-4F81-A22F-C4B4FFA42B47}">
      <text>
        <r>
          <rPr>
            <b/>
            <sz val="9"/>
            <color indexed="81"/>
            <rFont val="Tahoma"/>
            <family val="2"/>
          </rPr>
          <t>Purvi Sahu:</t>
        </r>
        <r>
          <rPr>
            <sz val="9"/>
            <color indexed="81"/>
            <rFont val="Tahoma"/>
            <family val="2"/>
          </rPr>
          <t xml:space="preserve">
Ensure consistency between software requirements and the software architectural design.</t>
        </r>
      </text>
    </comment>
    <comment ref="C11" authorId="0" shapeId="0" xr:uid="{F84B0119-2903-40D9-BF2B-116D7E12D129}">
      <text>
        <r>
          <rPr>
            <b/>
            <sz val="9"/>
            <color indexed="81"/>
            <rFont val="Tahoma"/>
            <family val="2"/>
          </rPr>
          <t>Purvi Sahu:</t>
        </r>
        <r>
          <rPr>
            <sz val="9"/>
            <color indexed="81"/>
            <rFont val="Tahoma"/>
            <family val="2"/>
          </rPr>
          <t xml:space="preserve">
Communicate the agreed software architectural design and updates to software architectural design to all relevant parties.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9056013E-C85A-4376-A5E8-65FF0D85E013}">
      <text>
        <r>
          <rPr>
            <sz val="9"/>
            <color indexed="81"/>
            <rFont val="Tahoma"/>
            <family val="2"/>
          </rPr>
          <t xml:space="preserve">Specify and document the 
static aspects of the software architecture with respect to the functional and non-functional
software requirements, including external interfaces and a defined set of software components 
with their interfaces and relationships. </t>
        </r>
      </text>
    </comment>
    <comment ref="C4" authorId="0" shapeId="0" xr:uid="{AD434C5F-BF18-4C59-A627-0165FCFB23B6}">
      <text>
        <r>
          <rPr>
            <sz val="9"/>
            <color indexed="81"/>
            <rFont val="Tahoma"/>
            <family val="2"/>
          </rPr>
          <t>Specify and document 
the dynamic aspects of the software architecture with respect to the functional and non functional software requirements, including the behavior of the software components and their 
interaction in different software modes, and concurrency aspects.</t>
        </r>
      </text>
    </comment>
    <comment ref="C5" authorId="0" shapeId="0" xr:uid="{609A158A-EEE8-4DDD-996A-49983C6EF5CA}">
      <text>
        <r>
          <rPr>
            <sz val="9"/>
            <color indexed="81"/>
            <rFont val="Tahoma"/>
            <family val="2"/>
          </rPr>
          <t>Analyze the software architecture regarding 
relevant technical design aspects and to support project management regarding project 
estimates. Document a rationale for the software architectural design decision.</t>
        </r>
      </text>
    </comment>
    <comment ref="C6" authorId="0" shapeId="0" xr:uid="{B9E61060-DB10-477C-96B1-BF5E7DA9C8B8}">
      <text>
        <r>
          <rPr>
            <sz val="9"/>
            <color indexed="81"/>
            <rFont val="Tahoma"/>
            <family val="2"/>
          </rPr>
          <t>Ensure 
consistency and establish bidirectional traceability between the software architecture and the 
software requirements.</t>
        </r>
      </text>
    </comment>
    <comment ref="C7" authorId="0" shapeId="0" xr:uid="{94E82F89-14FF-4C77-9B56-046ACB03CD84}">
      <text>
        <r>
          <rPr>
            <sz val="9"/>
            <color indexed="81"/>
            <rFont val="Tahoma"/>
            <family val="2"/>
          </rPr>
          <t xml:space="preserve">Communicate the agreed software 
architecture to all affected parties.
</t>
        </r>
      </text>
    </comment>
  </commentList>
</comments>
</file>

<file path=xl/sharedStrings.xml><?xml version="1.0" encoding="utf-8"?>
<sst xmlns="http://schemas.openxmlformats.org/spreadsheetml/2006/main" count="248" uniqueCount="72">
  <si>
    <t>SOFTWARE ENGINEERING PROCESS GROUP</t>
  </si>
  <si>
    <t>Previous Rating</t>
  </si>
  <si>
    <t>Current Evaluation</t>
  </si>
  <si>
    <t>Evidence</t>
  </si>
  <si>
    <t>Remark</t>
  </si>
  <si>
    <t>Target Date</t>
  </si>
  <si>
    <t>SWE.2</t>
  </si>
  <si>
    <t>SOFTWARE ARCHITECTURAL DESIGN</t>
  </si>
  <si>
    <t>In Scope?</t>
  </si>
  <si>
    <t>PA 1.1</t>
  </si>
  <si>
    <t>PA 2.1</t>
  </si>
  <si>
    <t>PA 2.2</t>
  </si>
  <si>
    <t>PA 3.1</t>
  </si>
  <si>
    <t>PA 3.2</t>
  </si>
  <si>
    <t>CL</t>
  </si>
  <si>
    <t>BP1</t>
  </si>
  <si>
    <t>Develop software architectural design</t>
  </si>
  <si>
    <t>-</t>
  </si>
  <si>
    <t>BP2</t>
  </si>
  <si>
    <t>Allocate software requirements</t>
  </si>
  <si>
    <t>BP3</t>
  </si>
  <si>
    <t>Define interfaces of software elements</t>
  </si>
  <si>
    <t>BP4</t>
  </si>
  <si>
    <t>Describe dynamic behavior</t>
  </si>
  <si>
    <t>BP5</t>
  </si>
  <si>
    <t>Define resource consumption objectives</t>
  </si>
  <si>
    <t>BP6</t>
  </si>
  <si>
    <t>Evaluate alternative software architectures</t>
  </si>
  <si>
    <t>BP7</t>
  </si>
  <si>
    <t>Establish bidirectional traceability</t>
  </si>
  <si>
    <t>BP8</t>
  </si>
  <si>
    <t>Ensure consistency</t>
  </si>
  <si>
    <t>BP9</t>
  </si>
  <si>
    <t>Communicate agreed software architectural design</t>
  </si>
  <si>
    <t>Software Architectural Design</t>
  </si>
  <si>
    <t>Responsible</t>
  </si>
  <si>
    <t>04-04</t>
  </si>
  <si>
    <t>Software architectural design</t>
  </si>
  <si>
    <t>13-04</t>
  </si>
  <si>
    <t>Communication record</t>
  </si>
  <si>
    <t>13-19</t>
  </si>
  <si>
    <t>Review record</t>
  </si>
  <si>
    <t>13-22</t>
  </si>
  <si>
    <t>Traceability record</t>
  </si>
  <si>
    <t>17-08</t>
  </si>
  <si>
    <t>Interface requirements specification</t>
  </si>
  <si>
    <t>N</t>
  </si>
  <si>
    <t>P</t>
  </si>
  <si>
    <t>L</t>
  </si>
  <si>
    <t>F</t>
  </si>
  <si>
    <t>Yes</t>
  </si>
  <si>
    <t>No</t>
  </si>
  <si>
    <t>Specify static aspects of the software architecture</t>
  </si>
  <si>
    <t>Specify dynamic aspects of the software architecture</t>
  </si>
  <si>
    <t>Analyze software architecture</t>
  </si>
  <si>
    <t>Ensure consistency and establish bidirectional traceability</t>
  </si>
  <si>
    <t>Communicate agreed software architecture</t>
  </si>
  <si>
    <t>Software Architecture</t>
  </si>
  <si>
    <t>13-51</t>
  </si>
  <si>
    <t>Consistency Evidence</t>
  </si>
  <si>
    <t>13-52</t>
  </si>
  <si>
    <t>Communication Evidence</t>
  </si>
  <si>
    <t>15-51</t>
  </si>
  <si>
    <t>Analysis Results</t>
  </si>
  <si>
    <t>PROCESS ATTRIBUTES (PA)</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</si>
  <si>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</si>
  <si>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</si>
  <si>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</si>
  <si>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r>
      <rPr>
        <sz val="12"/>
        <color theme="1"/>
        <rFont val="Calibri"/>
        <family val="2"/>
        <scheme val="minor"/>
      </rPr>
      <t>Within this process measurement framework, a process attribute is a measureable property of process capability. A process attribute rating is a judgement of the degree of achievement of the process attribute for the assessed process.</t>
    </r>
    <r>
      <rPr>
        <sz val="11"/>
        <color theme="1"/>
        <rFont val="Calibri"/>
        <family val="2"/>
        <scheme val="minor"/>
      </rPr>
      <t xml:space="preserve">
</t>
    </r>
  </si>
  <si>
    <t>The rating scale is defined by ISO/IEC 33020 as shown in table below:</t>
  </si>
  <si>
    <t>The ordinal scale defined above shall be understood in terms of percentage achievement of a process attribute.</t>
  </si>
  <si>
    <t>The corresponding percentages shall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</si>
</sst>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8"/>
      <name val="Calibri"/>
      <family val="2"/>
      <scheme val="minor"/>
    </font>
    <font>
      <sz val="12"/>
      <color theme="1"/>
      <name val="Calibri"/>
      <family val="2"/>
      <scheme val="minor"/>
    </font>
    <font>
      <sz val="9"/>
      <color indexed="81"/>
      <name val="Tahoma"/>
      <family val="2"/>
    </font>
    <font>
      <b/>
      <sz val="9"/>
      <color indexed="81"/>
      <name val="Tahoma"/>
      <family val="2"/>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2" fillId="2" borderId="1" xfId="0" applyFont="1" applyFill="1" applyBorder="1" applyAlignment="1">
      <alignment horizontal="left"/>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2" xfId="0" applyBorder="1" applyAlignment="1">
      <alignment horizontal="left"/>
    </xf>
    <xf numFmtId="0" fontId="5" fillId="0" borderId="1" xfId="1" applyBorder="1" applyAlignment="1">
      <alignment wrapText="1"/>
    </xf>
    <xf numFmtId="0" fontId="0" fillId="0" borderId="0" xfId="0" applyAlignment="1">
      <alignment wrapText="1"/>
    </xf>
    <xf numFmtId="0" fontId="0" fillId="0" borderId="1" xfId="0" applyBorder="1" applyAlignment="1">
      <alignment wrapText="1"/>
    </xf>
    <xf numFmtId="0" fontId="6" fillId="2" borderId="1" xfId="0" applyFont="1" applyFill="1" applyBorder="1" applyAlignment="1">
      <alignment horizontal="center"/>
    </xf>
    <xf numFmtId="0" fontId="6" fillId="2" borderId="2" xfId="0" applyFont="1" applyFill="1" applyBorder="1" applyAlignment="1">
      <alignment horizontal="left"/>
    </xf>
    <xf numFmtId="0" fontId="0" fillId="0" borderId="3" xfId="0" applyBorder="1" applyAlignment="1">
      <alignment horizontal="left"/>
    </xf>
    <xf numFmtId="0" fontId="8" fillId="0" borderId="1" xfId="0" quotePrefix="1" applyFont="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0" fillId="0" borderId="0" xfId="0" quotePrefix="1"/>
    <xf numFmtId="0" fontId="10" fillId="0" borderId="0" xfId="0" applyFont="1" applyAlignment="1">
      <alignment wrapText="1"/>
    </xf>
    <xf numFmtId="0" fontId="2" fillId="0" borderId="0" xfId="0" applyFont="1" applyAlignment="1">
      <alignment wrapText="1"/>
    </xf>
    <xf numFmtId="0" fontId="6" fillId="2" borderId="1" xfId="0" applyFont="1" applyFill="1" applyBorder="1" applyAlignment="1">
      <alignment horizontal="center"/>
    </xf>
    <xf numFmtId="0" fontId="7" fillId="3" borderId="2" xfId="0" applyFont="1" applyFill="1" applyBorder="1" applyAlignment="1">
      <alignment horizontal="center"/>
    </xf>
    <xf numFmtId="0" fontId="7" fillId="3" borderId="4" xfId="0" applyFont="1" applyFill="1" applyBorder="1" applyAlignment="1">
      <alignment horizontal="center"/>
    </xf>
    <xf numFmtId="0" fontId="7" fillId="3" borderId="1" xfId="0" applyFont="1" applyFill="1" applyBorder="1" applyAlignment="1">
      <alignment horizontal="center"/>
    </xf>
  </cellXfs>
  <cellStyles count="2">
    <cellStyle name="Hyperlink" xfId="1" builtinId="8"/>
    <cellStyle name="Normal" xfId="0" builtinId="0"/>
  </cellStyles>
  <dxfs count="2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2</xdr:col>
      <xdr:colOff>370</xdr:colOff>
      <xdr:row>28</xdr:row>
      <xdr:rowOff>165311</xdr:rowOff>
    </xdr:to>
    <xdr:pic>
      <xdr:nvPicPr>
        <xdr:cNvPr id="2" name="Picture 1">
          <a:extLst>
            <a:ext uri="{FF2B5EF4-FFF2-40B4-BE49-F238E27FC236}">
              <a16:creationId xmlns:a16="http://schemas.microsoft.com/office/drawing/2014/main" id="{4CFA28BE-CE34-4B13-BEB2-490310060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2</xdr:col>
      <xdr:colOff>3548</xdr:colOff>
      <xdr:row>54</xdr:row>
      <xdr:rowOff>19202</xdr:rowOff>
    </xdr:to>
    <xdr:pic>
      <xdr:nvPicPr>
        <xdr:cNvPr id="3" name="Picture 2">
          <a:extLst>
            <a:ext uri="{FF2B5EF4-FFF2-40B4-BE49-F238E27FC236}">
              <a16:creationId xmlns:a16="http://schemas.microsoft.com/office/drawing/2014/main" id="{F727A117-5B4C-4848-9A2B-49EF6CD1A2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2</xdr:col>
      <xdr:colOff>0</xdr:colOff>
      <xdr:row>65</xdr:row>
      <xdr:rowOff>165156</xdr:rowOff>
    </xdr:to>
    <xdr:pic>
      <xdr:nvPicPr>
        <xdr:cNvPr id="4" name="Picture 3">
          <a:extLst>
            <a:ext uri="{FF2B5EF4-FFF2-40B4-BE49-F238E27FC236}">
              <a16:creationId xmlns:a16="http://schemas.microsoft.com/office/drawing/2014/main" id="{CFEB49EA-3A42-46D3-9E0F-DB249ADBD71C}"/>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1"/>
  <sheetViews>
    <sheetView showGridLines="0" topLeftCell="A6" zoomScaleNormal="100" workbookViewId="0">
      <selection activeCell="C20" sqref="C20"/>
    </sheetView>
  </sheetViews>
  <sheetFormatPr defaultRowHeight="14.45"/>
  <cols>
    <col min="3" max="3" width="72.140625" style="1" customWidth="1"/>
    <col min="4" max="4" width="18.28515625" style="2" customWidth="1"/>
    <col min="5" max="5" width="16.140625" bestFit="1" customWidth="1"/>
    <col min="6" max="6" width="18.85546875" customWidth="1"/>
    <col min="7" max="7" width="17.28515625" bestFit="1" customWidth="1"/>
    <col min="8" max="8" width="17" customWidth="1"/>
    <col min="9" max="9" width="15.85546875" customWidth="1"/>
    <col min="10" max="10" width="16.42578125" customWidth="1"/>
    <col min="12" max="12" width="17.140625" customWidth="1"/>
    <col min="13" max="13" width="18.85546875" customWidth="1"/>
    <col min="14" max="14" width="15.85546875" customWidth="1"/>
    <col min="15" max="15" width="16.7109375" customWidth="1"/>
    <col min="16" max="16" width="16.5703125" customWidth="1"/>
    <col min="17" max="17" width="18.7109375" customWidth="1"/>
    <col min="18" max="18" width="16.85546875" customWidth="1"/>
    <col min="19" max="19" width="26" style="11" customWidth="1"/>
    <col min="20" max="20" width="22.140625" customWidth="1"/>
    <col min="21" max="21" width="13.28515625" customWidth="1"/>
  </cols>
  <sheetData>
    <row r="1" spans="2:20" ht="20.100000000000001" customHeight="1">
      <c r="B1" s="22" t="s">
        <v>0</v>
      </c>
      <c r="C1" s="23"/>
      <c r="D1" s="24" t="s">
        <v>1</v>
      </c>
      <c r="E1" s="24"/>
      <c r="F1" s="24"/>
      <c r="G1" s="24"/>
      <c r="H1" s="24"/>
      <c r="I1" s="24"/>
      <c r="J1" s="24"/>
      <c r="L1" s="24" t="s">
        <v>2</v>
      </c>
      <c r="M1" s="24"/>
      <c r="N1" s="24"/>
      <c r="O1" s="24"/>
      <c r="P1" s="24"/>
      <c r="Q1" s="24"/>
      <c r="R1" s="21" t="s">
        <v>3</v>
      </c>
      <c r="S1" s="21" t="s">
        <v>4</v>
      </c>
      <c r="T1" s="21" t="s">
        <v>5</v>
      </c>
    </row>
    <row r="2" spans="2:20" ht="27.6" customHeight="1">
      <c r="B2" s="13" t="s">
        <v>6</v>
      </c>
      <c r="C2" s="14" t="s">
        <v>7</v>
      </c>
      <c r="D2" s="14" t="s">
        <v>8</v>
      </c>
      <c r="E2" s="14" t="s">
        <v>9</v>
      </c>
      <c r="F2" s="14" t="s">
        <v>10</v>
      </c>
      <c r="G2" s="14" t="s">
        <v>11</v>
      </c>
      <c r="H2" s="14" t="s">
        <v>12</v>
      </c>
      <c r="I2" s="14" t="s">
        <v>13</v>
      </c>
      <c r="J2" s="14" t="s">
        <v>14</v>
      </c>
      <c r="K2" s="14"/>
      <c r="L2" s="14" t="s">
        <v>9</v>
      </c>
      <c r="M2" s="14" t="s">
        <v>10</v>
      </c>
      <c r="N2" s="14" t="s">
        <v>11</v>
      </c>
      <c r="O2" s="14" t="s">
        <v>12</v>
      </c>
      <c r="P2" s="14" t="s">
        <v>13</v>
      </c>
      <c r="Q2" s="14" t="s">
        <v>14</v>
      </c>
      <c r="R2" s="21"/>
      <c r="S2" s="21"/>
      <c r="T2" s="21"/>
    </row>
    <row r="3" spans="2:20" ht="71.45" customHeight="1">
      <c r="B3" s="7" t="s">
        <v>15</v>
      </c>
      <c r="C3" s="9" t="s">
        <v>16</v>
      </c>
      <c r="D3" s="4"/>
      <c r="E3" s="16" t="s">
        <v>17</v>
      </c>
      <c r="F3" s="16" t="s">
        <v>17</v>
      </c>
      <c r="G3" s="16" t="s">
        <v>17</v>
      </c>
      <c r="H3" s="16" t="s">
        <v>17</v>
      </c>
      <c r="I3" s="16" t="s">
        <v>17</v>
      </c>
      <c r="J3" s="17">
        <f t="shared" ref="J3:J10" si="0">IF(OR(E3="F",E3="L"),IF(AND(E3="F",OR(G3="F",G3="L"),OR(G3="F",G3="L")),IF(AND(E3="F",F3="F",G3="F",OR(H3="F",H3="L"),OR(I3="F",I3="L")),3,2),1),0)</f>
        <v>0</v>
      </c>
      <c r="K3" s="4"/>
      <c r="L3" s="16" t="s">
        <v>17</v>
      </c>
      <c r="M3" s="16" t="s">
        <v>17</v>
      </c>
      <c r="N3" s="16" t="s">
        <v>17</v>
      </c>
      <c r="O3" s="16" t="s">
        <v>17</v>
      </c>
      <c r="P3" s="16" t="s">
        <v>17</v>
      </c>
      <c r="Q3" s="17">
        <f t="shared" ref="Q3:Q10" si="1">IF(OR(L3="F",L3="L"),IF(AND(L3="F",OR(N3="F",N3="L"),OR(N3="F",N3="L")),IF(AND(L3="F",M3="F",N3="F",OR(O3="F",O3="L"),OR(P3="F",P3="L")),3,2),1),0)</f>
        <v>0</v>
      </c>
      <c r="R3" s="10"/>
      <c r="S3" s="12"/>
      <c r="T3" s="4"/>
    </row>
    <row r="4" spans="2:20" ht="165.6" customHeight="1">
      <c r="B4" s="7" t="s">
        <v>18</v>
      </c>
      <c r="C4" s="9" t="s">
        <v>19</v>
      </c>
      <c r="D4" s="4"/>
      <c r="E4" s="16" t="s">
        <v>17</v>
      </c>
      <c r="F4" s="16" t="s">
        <v>17</v>
      </c>
      <c r="G4" s="16" t="s">
        <v>17</v>
      </c>
      <c r="H4" s="16" t="s">
        <v>17</v>
      </c>
      <c r="I4" s="16" t="s">
        <v>17</v>
      </c>
      <c r="J4" s="17">
        <f t="shared" si="0"/>
        <v>0</v>
      </c>
      <c r="K4" s="4"/>
      <c r="L4" s="16" t="s">
        <v>17</v>
      </c>
      <c r="M4" s="16" t="s">
        <v>17</v>
      </c>
      <c r="N4" s="16" t="s">
        <v>17</v>
      </c>
      <c r="O4" s="16" t="s">
        <v>17</v>
      </c>
      <c r="P4" s="16" t="s">
        <v>17</v>
      </c>
      <c r="Q4" s="17">
        <f t="shared" si="1"/>
        <v>0</v>
      </c>
      <c r="R4" s="10"/>
      <c r="S4" s="12"/>
      <c r="T4" s="4"/>
    </row>
    <row r="5" spans="2:20" ht="72.599999999999994" customHeight="1">
      <c r="B5" s="7" t="s">
        <v>20</v>
      </c>
      <c r="C5" s="9" t="s">
        <v>21</v>
      </c>
      <c r="D5" s="4"/>
      <c r="E5" s="16" t="s">
        <v>17</v>
      </c>
      <c r="F5" s="16" t="s">
        <v>17</v>
      </c>
      <c r="G5" s="16" t="s">
        <v>17</v>
      </c>
      <c r="H5" s="16" t="s">
        <v>17</v>
      </c>
      <c r="I5" s="16" t="s">
        <v>17</v>
      </c>
      <c r="J5" s="17">
        <f t="shared" si="0"/>
        <v>0</v>
      </c>
      <c r="K5" s="4"/>
      <c r="L5" s="16" t="s">
        <v>17</v>
      </c>
      <c r="M5" s="16" t="s">
        <v>17</v>
      </c>
      <c r="N5" s="16" t="s">
        <v>17</v>
      </c>
      <c r="O5" s="16" t="s">
        <v>17</v>
      </c>
      <c r="P5" s="16" t="s">
        <v>17</v>
      </c>
      <c r="Q5" s="17">
        <f t="shared" si="1"/>
        <v>0</v>
      </c>
      <c r="R5" s="10"/>
      <c r="S5" s="12"/>
      <c r="T5" s="4"/>
    </row>
    <row r="6" spans="2:20" ht="132" customHeight="1">
      <c r="B6" s="7" t="s">
        <v>22</v>
      </c>
      <c r="C6" s="9" t="s">
        <v>23</v>
      </c>
      <c r="D6" s="4"/>
      <c r="E6" s="16" t="s">
        <v>17</v>
      </c>
      <c r="F6" s="16" t="s">
        <v>17</v>
      </c>
      <c r="G6" s="16" t="s">
        <v>17</v>
      </c>
      <c r="H6" s="16" t="s">
        <v>17</v>
      </c>
      <c r="I6" s="16" t="s">
        <v>17</v>
      </c>
      <c r="J6" s="17">
        <f t="shared" si="0"/>
        <v>0</v>
      </c>
      <c r="K6" s="4"/>
      <c r="L6" s="16" t="s">
        <v>17</v>
      </c>
      <c r="M6" s="16" t="s">
        <v>17</v>
      </c>
      <c r="N6" s="16" t="s">
        <v>17</v>
      </c>
      <c r="O6" s="16" t="s">
        <v>17</v>
      </c>
      <c r="P6" s="16" t="s">
        <v>17</v>
      </c>
      <c r="Q6" s="17">
        <f t="shared" si="1"/>
        <v>0</v>
      </c>
      <c r="R6" s="10"/>
      <c r="S6" s="12"/>
      <c r="T6" s="4"/>
    </row>
    <row r="7" spans="2:20" ht="60" customHeight="1">
      <c r="B7" s="7" t="s">
        <v>24</v>
      </c>
      <c r="C7" s="9" t="s">
        <v>25</v>
      </c>
      <c r="D7" s="4"/>
      <c r="E7" s="16" t="s">
        <v>17</v>
      </c>
      <c r="F7" s="16" t="s">
        <v>17</v>
      </c>
      <c r="G7" s="16" t="s">
        <v>17</v>
      </c>
      <c r="H7" s="16" t="s">
        <v>17</v>
      </c>
      <c r="I7" s="16" t="s">
        <v>17</v>
      </c>
      <c r="J7" s="17">
        <f t="shared" si="0"/>
        <v>0</v>
      </c>
      <c r="K7" s="4"/>
      <c r="L7" s="16" t="s">
        <v>17</v>
      </c>
      <c r="M7" s="16" t="s">
        <v>17</v>
      </c>
      <c r="N7" s="16" t="s">
        <v>17</v>
      </c>
      <c r="O7" s="16" t="s">
        <v>17</v>
      </c>
      <c r="P7" s="16" t="s">
        <v>17</v>
      </c>
      <c r="Q7" s="17">
        <f t="shared" si="1"/>
        <v>0</v>
      </c>
      <c r="R7" s="12"/>
      <c r="S7" s="12"/>
      <c r="T7" s="4"/>
    </row>
    <row r="8" spans="2:20" ht="63.6" customHeight="1">
      <c r="B8" s="7" t="s">
        <v>26</v>
      </c>
      <c r="C8" s="9" t="s">
        <v>27</v>
      </c>
      <c r="D8" s="4"/>
      <c r="E8" s="16" t="s">
        <v>17</v>
      </c>
      <c r="F8" s="16" t="s">
        <v>17</v>
      </c>
      <c r="G8" s="16" t="s">
        <v>17</v>
      </c>
      <c r="H8" s="16" t="s">
        <v>17</v>
      </c>
      <c r="I8" s="16" t="s">
        <v>17</v>
      </c>
      <c r="J8" s="17">
        <f t="shared" si="0"/>
        <v>0</v>
      </c>
      <c r="K8" s="4"/>
      <c r="L8" s="16" t="s">
        <v>17</v>
      </c>
      <c r="M8" s="16" t="s">
        <v>17</v>
      </c>
      <c r="N8" s="16" t="s">
        <v>17</v>
      </c>
      <c r="O8" s="16" t="s">
        <v>17</v>
      </c>
      <c r="P8" s="16" t="s">
        <v>17</v>
      </c>
      <c r="Q8" s="17">
        <f t="shared" si="1"/>
        <v>0</v>
      </c>
      <c r="R8" s="12"/>
      <c r="S8" s="12"/>
      <c r="T8" s="4"/>
    </row>
    <row r="9" spans="2:20" ht="52.5" customHeight="1">
      <c r="B9" s="7" t="s">
        <v>28</v>
      </c>
      <c r="C9" s="9" t="s">
        <v>29</v>
      </c>
      <c r="D9" s="4"/>
      <c r="E9" s="16" t="s">
        <v>17</v>
      </c>
      <c r="F9" s="16" t="s">
        <v>17</v>
      </c>
      <c r="G9" s="16" t="s">
        <v>17</v>
      </c>
      <c r="H9" s="16" t="s">
        <v>17</v>
      </c>
      <c r="I9" s="16" t="s">
        <v>17</v>
      </c>
      <c r="J9" s="17">
        <f t="shared" si="0"/>
        <v>0</v>
      </c>
      <c r="K9" s="4"/>
      <c r="L9" s="16" t="s">
        <v>17</v>
      </c>
      <c r="M9" s="16" t="s">
        <v>17</v>
      </c>
      <c r="N9" s="16" t="s">
        <v>17</v>
      </c>
      <c r="O9" s="16" t="s">
        <v>17</v>
      </c>
      <c r="P9" s="16" t="s">
        <v>17</v>
      </c>
      <c r="Q9" s="17">
        <f t="shared" si="1"/>
        <v>0</v>
      </c>
      <c r="R9" s="12"/>
      <c r="S9" s="12"/>
      <c r="T9" s="4"/>
    </row>
    <row r="10" spans="2:20" ht="38.450000000000003" customHeight="1">
      <c r="B10" s="7" t="s">
        <v>30</v>
      </c>
      <c r="C10" s="15" t="s">
        <v>31</v>
      </c>
      <c r="D10" s="4"/>
      <c r="E10" s="16" t="s">
        <v>17</v>
      </c>
      <c r="F10" s="16" t="s">
        <v>17</v>
      </c>
      <c r="G10" s="16" t="s">
        <v>17</v>
      </c>
      <c r="H10" s="16" t="s">
        <v>17</v>
      </c>
      <c r="I10" s="16" t="s">
        <v>17</v>
      </c>
      <c r="J10" s="17">
        <f t="shared" si="0"/>
        <v>0</v>
      </c>
      <c r="K10" s="4"/>
      <c r="L10" s="16" t="s">
        <v>17</v>
      </c>
      <c r="M10" s="16" t="s">
        <v>17</v>
      </c>
      <c r="N10" s="16" t="s">
        <v>17</v>
      </c>
      <c r="O10" s="16" t="s">
        <v>17</v>
      </c>
      <c r="P10" s="16" t="s">
        <v>17</v>
      </c>
      <c r="Q10" s="17">
        <f t="shared" si="1"/>
        <v>0</v>
      </c>
      <c r="R10" s="12"/>
      <c r="S10" s="12"/>
      <c r="T10" s="4"/>
    </row>
    <row r="11" spans="2:20" ht="38.450000000000003" customHeight="1">
      <c r="B11" s="7" t="s">
        <v>32</v>
      </c>
      <c r="C11" s="15" t="s">
        <v>33</v>
      </c>
      <c r="D11" s="4"/>
      <c r="E11" s="16" t="s">
        <v>17</v>
      </c>
      <c r="F11" s="16" t="s">
        <v>17</v>
      </c>
      <c r="G11" s="16" t="s">
        <v>17</v>
      </c>
      <c r="H11" s="16" t="s">
        <v>17</v>
      </c>
      <c r="I11" s="16" t="s">
        <v>17</v>
      </c>
      <c r="J11" s="17">
        <f t="shared" ref="J11" si="2">IF(OR(E11="F",E11="L"),IF(AND(E11="F",OR(G11="F",G11="L"),OR(G11="F",G11="L")),IF(AND(E11="F",F11="F",G11="F",OR(H11="F",H11="L"),OR(I11="F",I11="L")),3,2),1),0)</f>
        <v>0</v>
      </c>
      <c r="K11" s="4"/>
      <c r="L11" s="16" t="s">
        <v>17</v>
      </c>
      <c r="M11" s="16" t="s">
        <v>17</v>
      </c>
      <c r="N11" s="16" t="s">
        <v>17</v>
      </c>
      <c r="O11" s="16" t="s">
        <v>17</v>
      </c>
      <c r="P11" s="16" t="s">
        <v>17</v>
      </c>
      <c r="Q11" s="17">
        <f t="shared" ref="Q11" si="3">IF(OR(L11="F",L11="L"),IF(AND(L11="F",OR(N11="F",N11="L"),OR(N11="F",N11="L")),IF(AND(L11="F",M11="F",N11="F",OR(O11="F",O11="L"),OR(P11="F",P11="L")),3,2),1),0)</f>
        <v>0</v>
      </c>
      <c r="R11" s="12"/>
      <c r="S11" s="12"/>
      <c r="T11" s="4"/>
    </row>
  </sheetData>
  <mergeCells count="6">
    <mergeCell ref="L1:Q1"/>
    <mergeCell ref="R1:R2"/>
    <mergeCell ref="S1:S2"/>
    <mergeCell ref="T1:T2"/>
    <mergeCell ref="B1:C1"/>
    <mergeCell ref="D1:J1"/>
  </mergeCells>
  <phoneticPr fontId="1" type="noConversion"/>
  <conditionalFormatting sqref="E3:I11">
    <cfRule type="cellIs" dxfId="19" priority="6" operator="equal">
      <formula>"-"</formula>
    </cfRule>
    <cfRule type="cellIs" dxfId="18" priority="7" operator="equal">
      <formula>"N"</formula>
    </cfRule>
    <cfRule type="cellIs" dxfId="17" priority="8" operator="equal">
      <formula>"P"</formula>
    </cfRule>
    <cfRule type="cellIs" dxfId="16" priority="9" operator="equal">
      <formula>"L"</formula>
    </cfRule>
    <cfRule type="cellIs" dxfId="15" priority="10" operator="equal">
      <formula>"F"</formula>
    </cfRule>
  </conditionalFormatting>
  <conditionalFormatting sqref="L3:P11">
    <cfRule type="cellIs" dxfId="14" priority="1" operator="equal">
      <formula>"-"</formula>
    </cfRule>
    <cfRule type="cellIs" dxfId="13" priority="2" operator="equal">
      <formula>"N"</formula>
    </cfRule>
    <cfRule type="cellIs" dxfId="12" priority="3" operator="equal">
      <formula>"P"</formula>
    </cfRule>
    <cfRule type="cellIs" dxfId="11" priority="4" operator="equal">
      <formula>"L"</formula>
    </cfRule>
    <cfRule type="cellIs" dxfId="1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M12:M1048576 F12:F1048576</xm:sqref>
        </x14:dataValidation>
        <x14:dataValidation type="list" allowBlank="1" showInputMessage="1" showErrorMessage="1" xr:uid="{68629ED1-0123-4601-9A10-87780FF5A395}">
          <x14:formula1>
            <xm:f>'Drop down list'!$I$8:$I$9</xm:f>
          </x14:formula1>
          <xm:sqref>D3:D11</xm:sqref>
        </x14:dataValidation>
        <x14:dataValidation type="list" allowBlank="1" showInputMessage="1" showErrorMessage="1" xr:uid="{A9E86DB0-11B7-422E-9B0E-EF80AA4F64CA}">
          <x14:formula1>
            <xm:f>'Drop down list'!$E$3:$E$7</xm:f>
          </x14:formula1>
          <xm:sqref>L3:P11 E3:I11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B2:D7"/>
  <sheetViews>
    <sheetView showGridLines="0" workbookViewId="0">
      <selection activeCell="C37" sqref="C37"/>
    </sheetView>
  </sheetViews>
  <sheetFormatPr defaultRowHeight="14.45"/>
  <cols>
    <col min="3" max="3" width="35.140625" customWidth="1"/>
    <col min="4" max="4" width="30.7109375" customWidth="1"/>
    <col min="5" max="5" width="19.85546875" bestFit="1" customWidth="1"/>
  </cols>
  <sheetData>
    <row r="2" spans="2:4" ht="15.6">
      <c r="B2" s="5" t="s">
        <v>6</v>
      </c>
      <c r="C2" s="6" t="s">
        <v>34</v>
      </c>
      <c r="D2" s="3" t="s">
        <v>35</v>
      </c>
    </row>
    <row r="3" spans="2:4">
      <c r="B3" s="8" t="s">
        <v>36</v>
      </c>
      <c r="C3" s="4" t="s">
        <v>37</v>
      </c>
      <c r="D3" s="4"/>
    </row>
    <row r="4" spans="2:4">
      <c r="B4" s="8" t="s">
        <v>38</v>
      </c>
      <c r="C4" s="4" t="s">
        <v>39</v>
      </c>
      <c r="D4" s="4"/>
    </row>
    <row r="5" spans="2:4" ht="30.75" customHeight="1">
      <c r="B5" s="7" t="s">
        <v>40</v>
      </c>
      <c r="C5" s="4" t="s">
        <v>41</v>
      </c>
      <c r="D5" s="4"/>
    </row>
    <row r="6" spans="2:4">
      <c r="B6" s="7" t="s">
        <v>42</v>
      </c>
      <c r="C6" s="4" t="s">
        <v>43</v>
      </c>
      <c r="D6" s="4"/>
    </row>
    <row r="7" spans="2:4">
      <c r="B7" s="8" t="s">
        <v>44</v>
      </c>
      <c r="C7" s="4" t="s">
        <v>45</v>
      </c>
      <c r="D7"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45"/>
  <cols>
    <col min="5" max="5" width="17.28515625" bestFit="1" customWidth="1"/>
  </cols>
  <sheetData>
    <row r="3" spans="5:9">
      <c r="E3" s="18" t="s">
        <v>17</v>
      </c>
    </row>
    <row r="4" spans="5:9">
      <c r="E4" t="s">
        <v>46</v>
      </c>
    </row>
    <row r="5" spans="5:9">
      <c r="E5" t="s">
        <v>47</v>
      </c>
    </row>
    <row r="6" spans="5:9">
      <c r="E6" t="s">
        <v>48</v>
      </c>
    </row>
    <row r="7" spans="5:9">
      <c r="E7" t="s">
        <v>49</v>
      </c>
    </row>
    <row r="8" spans="5:9">
      <c r="I8" t="s">
        <v>50</v>
      </c>
    </row>
    <row r="9" spans="5:9">
      <c r="I9"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154-71E6-4B58-9DB6-8A90E83B9CE7}">
  <dimension ref="B1:T7"/>
  <sheetViews>
    <sheetView showGridLines="0" tabSelected="1" zoomScaleNormal="100" workbookViewId="0">
      <selection activeCell="C6" sqref="C6"/>
    </sheetView>
  </sheetViews>
  <sheetFormatPr defaultRowHeight="14.45"/>
  <cols>
    <col min="3" max="3" width="72.140625" style="1" customWidth="1"/>
    <col min="4" max="4" width="18.28515625" style="2" customWidth="1"/>
    <col min="5" max="5" width="16.140625" bestFit="1" customWidth="1"/>
    <col min="6" max="6" width="18.85546875" customWidth="1"/>
    <col min="7" max="7" width="17.28515625" bestFit="1" customWidth="1"/>
    <col min="8" max="8" width="17" hidden="1" customWidth="1"/>
    <col min="9" max="9" width="15.85546875" hidden="1" customWidth="1"/>
    <col min="10" max="10" width="16.42578125" customWidth="1"/>
    <col min="12" max="12" width="17.140625" customWidth="1"/>
    <col min="13" max="13" width="18.85546875" customWidth="1"/>
    <col min="14" max="14" width="15.85546875" customWidth="1"/>
    <col min="15" max="15" width="16.7109375" hidden="1" customWidth="1"/>
    <col min="16" max="16" width="16.5703125" hidden="1" customWidth="1"/>
    <col min="17" max="17" width="18.7109375" customWidth="1"/>
    <col min="18" max="18" width="16.85546875" customWidth="1"/>
    <col min="19" max="19" width="26" style="11" customWidth="1"/>
    <col min="20" max="20" width="22.140625" customWidth="1"/>
    <col min="21" max="21" width="13.28515625" customWidth="1"/>
  </cols>
  <sheetData>
    <row r="1" spans="2:20" ht="20.100000000000001" customHeight="1">
      <c r="B1" s="22" t="s">
        <v>0</v>
      </c>
      <c r="C1" s="23"/>
      <c r="D1" s="24" t="s">
        <v>1</v>
      </c>
      <c r="E1" s="24"/>
      <c r="F1" s="24"/>
      <c r="G1" s="24"/>
      <c r="H1" s="24"/>
      <c r="I1" s="24"/>
      <c r="J1" s="24"/>
      <c r="L1" s="24" t="s">
        <v>2</v>
      </c>
      <c r="M1" s="24"/>
      <c r="N1" s="24"/>
      <c r="O1" s="24"/>
      <c r="P1" s="24"/>
      <c r="Q1" s="24"/>
      <c r="R1" s="21" t="s">
        <v>3</v>
      </c>
      <c r="S1" s="21" t="s">
        <v>4</v>
      </c>
      <c r="T1" s="21" t="s">
        <v>5</v>
      </c>
    </row>
    <row r="2" spans="2:20" ht="27.6" customHeight="1">
      <c r="B2" s="13" t="s">
        <v>6</v>
      </c>
      <c r="C2" s="14" t="s">
        <v>7</v>
      </c>
      <c r="D2" s="14" t="s">
        <v>8</v>
      </c>
      <c r="E2" s="14" t="s">
        <v>9</v>
      </c>
      <c r="F2" s="14" t="s">
        <v>10</v>
      </c>
      <c r="G2" s="14" t="s">
        <v>11</v>
      </c>
      <c r="H2" s="14" t="s">
        <v>12</v>
      </c>
      <c r="I2" s="14" t="s">
        <v>13</v>
      </c>
      <c r="J2" s="14" t="s">
        <v>14</v>
      </c>
      <c r="K2" s="14"/>
      <c r="L2" s="14" t="s">
        <v>9</v>
      </c>
      <c r="M2" s="14" t="s">
        <v>10</v>
      </c>
      <c r="N2" s="14" t="s">
        <v>11</v>
      </c>
      <c r="O2" s="14" t="s">
        <v>12</v>
      </c>
      <c r="P2" s="14" t="s">
        <v>13</v>
      </c>
      <c r="Q2" s="14" t="s">
        <v>14</v>
      </c>
      <c r="R2" s="21"/>
      <c r="S2" s="21"/>
      <c r="T2" s="21"/>
    </row>
    <row r="3" spans="2:20" ht="71.45" customHeight="1">
      <c r="B3" s="7" t="s">
        <v>15</v>
      </c>
      <c r="C3" s="9" t="s">
        <v>52</v>
      </c>
      <c r="D3" s="4"/>
      <c r="E3" s="16" t="s">
        <v>17</v>
      </c>
      <c r="F3" s="16" t="s">
        <v>17</v>
      </c>
      <c r="G3" s="16" t="s">
        <v>17</v>
      </c>
      <c r="H3" s="16" t="s">
        <v>17</v>
      </c>
      <c r="I3" s="16" t="s">
        <v>17</v>
      </c>
      <c r="J3" s="17">
        <f t="shared" ref="J3:J7" si="0">IF(OR(E3="F",E3="L"),IF(AND(E3="F",OR(G3="F",G3="L"),OR(G3="F",G3="L")),IF(AND(E3="F",F3="F",G3="F",OR(H3="F",H3="L"),OR(I3="F",I3="L")),3,2),1),0)</f>
        <v>0</v>
      </c>
      <c r="K3" s="4"/>
      <c r="L3" s="16" t="s">
        <v>17</v>
      </c>
      <c r="M3" s="16" t="s">
        <v>17</v>
      </c>
      <c r="N3" s="16" t="s">
        <v>17</v>
      </c>
      <c r="O3" s="16" t="s">
        <v>17</v>
      </c>
      <c r="P3" s="16" t="s">
        <v>17</v>
      </c>
      <c r="Q3" s="17">
        <f t="shared" ref="Q3:Q7" si="1">IF(OR(L3="F",L3="L"),IF(AND(L3="F",OR(N3="F",N3="L"),OR(N3="F",N3="L")),IF(AND(L3="F",M3="F",N3="F",OR(O3="F",O3="L"),OR(P3="F",P3="L")),3,2),1),0)</f>
        <v>0</v>
      </c>
      <c r="R3" s="10"/>
      <c r="S3" s="12"/>
      <c r="T3" s="4"/>
    </row>
    <row r="4" spans="2:20" ht="71.45" customHeight="1">
      <c r="B4" s="7" t="s">
        <v>18</v>
      </c>
      <c r="C4" s="9" t="s">
        <v>53</v>
      </c>
      <c r="D4" s="4"/>
      <c r="E4" s="16" t="s">
        <v>17</v>
      </c>
      <c r="F4" s="16" t="s">
        <v>17</v>
      </c>
      <c r="G4" s="16" t="s">
        <v>17</v>
      </c>
      <c r="H4" s="16" t="s">
        <v>17</v>
      </c>
      <c r="I4" s="16" t="s">
        <v>17</v>
      </c>
      <c r="J4" s="17">
        <f t="shared" si="0"/>
        <v>0</v>
      </c>
      <c r="K4" s="4"/>
      <c r="L4" s="16" t="s">
        <v>17</v>
      </c>
      <c r="M4" s="16" t="s">
        <v>17</v>
      </c>
      <c r="N4" s="16" t="s">
        <v>17</v>
      </c>
      <c r="O4" s="16" t="s">
        <v>17</v>
      </c>
      <c r="P4" s="16" t="s">
        <v>17</v>
      </c>
      <c r="Q4" s="17">
        <f t="shared" si="1"/>
        <v>0</v>
      </c>
      <c r="R4" s="10"/>
      <c r="S4" s="12"/>
      <c r="T4" s="4"/>
    </row>
    <row r="5" spans="2:20" ht="72.599999999999994" customHeight="1">
      <c r="B5" s="7" t="s">
        <v>20</v>
      </c>
      <c r="C5" t="s">
        <v>54</v>
      </c>
      <c r="D5" s="4"/>
      <c r="E5" s="16" t="s">
        <v>17</v>
      </c>
      <c r="F5" s="16" t="s">
        <v>17</v>
      </c>
      <c r="G5" s="16" t="s">
        <v>17</v>
      </c>
      <c r="H5" s="16" t="s">
        <v>17</v>
      </c>
      <c r="I5" s="16" t="s">
        <v>17</v>
      </c>
      <c r="J5" s="17">
        <f t="shared" si="0"/>
        <v>0</v>
      </c>
      <c r="K5" s="4"/>
      <c r="L5" s="16" t="s">
        <v>17</v>
      </c>
      <c r="M5" s="16" t="s">
        <v>17</v>
      </c>
      <c r="N5" s="16" t="s">
        <v>17</v>
      </c>
      <c r="O5" s="16" t="s">
        <v>17</v>
      </c>
      <c r="P5" s="16" t="s">
        <v>17</v>
      </c>
      <c r="Q5" s="17">
        <f t="shared" si="1"/>
        <v>0</v>
      </c>
      <c r="R5" s="10"/>
      <c r="S5" s="12"/>
      <c r="T5" s="4"/>
    </row>
    <row r="6" spans="2:20" ht="66.599999999999994" customHeight="1">
      <c r="B6" s="7" t="s">
        <v>22</v>
      </c>
      <c r="C6" s="4" t="s">
        <v>55</v>
      </c>
      <c r="D6" s="4"/>
      <c r="E6" s="16" t="s">
        <v>17</v>
      </c>
      <c r="F6" s="16" t="s">
        <v>17</v>
      </c>
      <c r="G6" s="16" t="s">
        <v>17</v>
      </c>
      <c r="H6" s="16" t="s">
        <v>17</v>
      </c>
      <c r="I6" s="16" t="s">
        <v>17</v>
      </c>
      <c r="J6" s="17">
        <f t="shared" si="0"/>
        <v>0</v>
      </c>
      <c r="K6" s="4"/>
      <c r="L6" s="16" t="s">
        <v>17</v>
      </c>
      <c r="M6" s="16" t="s">
        <v>17</v>
      </c>
      <c r="N6" s="16" t="s">
        <v>17</v>
      </c>
      <c r="O6" s="16" t="s">
        <v>17</v>
      </c>
      <c r="P6" s="16" t="s">
        <v>17</v>
      </c>
      <c r="Q6" s="17">
        <f t="shared" si="1"/>
        <v>0</v>
      </c>
      <c r="R6" s="10"/>
      <c r="S6" s="12"/>
      <c r="T6" s="4"/>
    </row>
    <row r="7" spans="2:20" ht="60" customHeight="1">
      <c r="B7" s="7" t="s">
        <v>24</v>
      </c>
      <c r="C7" s="4" t="s">
        <v>56</v>
      </c>
      <c r="D7" s="4"/>
      <c r="E7" s="16" t="s">
        <v>17</v>
      </c>
      <c r="F7" s="16" t="s">
        <v>17</v>
      </c>
      <c r="G7" s="16" t="s">
        <v>17</v>
      </c>
      <c r="H7" s="16" t="s">
        <v>17</v>
      </c>
      <c r="I7" s="16" t="s">
        <v>17</v>
      </c>
      <c r="J7" s="17">
        <f t="shared" si="0"/>
        <v>0</v>
      </c>
      <c r="K7" s="4"/>
      <c r="L7" s="16" t="s">
        <v>17</v>
      </c>
      <c r="M7" s="16" t="s">
        <v>17</v>
      </c>
      <c r="N7" s="16" t="s">
        <v>17</v>
      </c>
      <c r="O7" s="16" t="s">
        <v>17</v>
      </c>
      <c r="P7" s="16" t="s">
        <v>17</v>
      </c>
      <c r="Q7" s="17">
        <f t="shared" si="1"/>
        <v>0</v>
      </c>
      <c r="R7" s="12"/>
      <c r="S7" s="12"/>
      <c r="T7" s="4"/>
    </row>
  </sheetData>
  <mergeCells count="6">
    <mergeCell ref="T1:T2"/>
    <mergeCell ref="B1:C1"/>
    <mergeCell ref="D1:J1"/>
    <mergeCell ref="L1:Q1"/>
    <mergeCell ref="R1:R2"/>
    <mergeCell ref="S1:S2"/>
  </mergeCells>
  <conditionalFormatting sqref="E3:I7">
    <cfRule type="cellIs" dxfId="9" priority="6" operator="equal">
      <formula>"-"</formula>
    </cfRule>
    <cfRule type="cellIs" dxfId="8" priority="7" operator="equal">
      <formula>"N"</formula>
    </cfRule>
    <cfRule type="cellIs" dxfId="7" priority="8" operator="equal">
      <formula>"P"</formula>
    </cfRule>
    <cfRule type="cellIs" dxfId="6" priority="9" operator="equal">
      <formula>"L"</formula>
    </cfRule>
    <cfRule type="cellIs" dxfId="5" priority="10" operator="equal">
      <formula>"F"</formula>
    </cfRule>
  </conditionalFormatting>
  <conditionalFormatting sqref="L3:P7">
    <cfRule type="cellIs" dxfId="4" priority="1" operator="equal">
      <formula>"-"</formula>
    </cfRule>
    <cfRule type="cellIs" dxfId="3" priority="2" operator="equal">
      <formula>"N"</formula>
    </cfRule>
    <cfRule type="cellIs" dxfId="2" priority="3" operator="equal">
      <formula>"P"</formula>
    </cfRule>
    <cfRule type="cellIs" dxfId="1" priority="4" operator="equal">
      <formula>"L"</formula>
    </cfRule>
    <cfRule type="cellIs" dxfId="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7BF4EF4A-F2B6-49F0-AA89-B2CA87007E26}">
          <x14:formula1>
            <xm:f>'Drop down list'!$E$3:$E$7</xm:f>
          </x14:formula1>
          <xm:sqref>L3:P7 E3:I7</xm:sqref>
        </x14:dataValidation>
        <x14:dataValidation type="list" allowBlank="1" showInputMessage="1" showErrorMessage="1" xr:uid="{2863AB9E-1F00-4BE1-B166-A4DF36965957}">
          <x14:formula1>
            <xm:f>'Drop down list'!$I$8:$I$9</xm:f>
          </x14:formula1>
          <xm:sqref>D3:D7</xm:sqref>
        </x14:dataValidation>
        <x14:dataValidation type="list" allowBlank="1" showInputMessage="1" showErrorMessage="1" xr:uid="{215F2F8E-358D-415B-869F-7B2EC45F9828}">
          <x14:formula1>
            <xm:f>'Drop down list'!$E$4:$E$7</xm:f>
          </x14:formula1>
          <xm:sqref>M8:M1048576 F8:F1048576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402B-FBAA-45D3-A16B-F0922981C37C}">
  <dimension ref="B2:C6"/>
  <sheetViews>
    <sheetView showGridLines="0" workbookViewId="0">
      <selection activeCell="L17" sqref="L17"/>
    </sheetView>
  </sheetViews>
  <sheetFormatPr defaultRowHeight="14.45"/>
  <cols>
    <col min="3" max="3" width="35.140625" customWidth="1"/>
    <col min="4" max="4" width="19.85546875" bestFit="1" customWidth="1"/>
  </cols>
  <sheetData>
    <row r="2" spans="2:3" ht="15.6">
      <c r="B2" s="5" t="s">
        <v>6</v>
      </c>
      <c r="C2" s="6" t="s">
        <v>34</v>
      </c>
    </row>
    <row r="3" spans="2:3">
      <c r="B3" s="8" t="s">
        <v>36</v>
      </c>
      <c r="C3" s="4" t="s">
        <v>57</v>
      </c>
    </row>
    <row r="4" spans="2:3">
      <c r="B4" s="7" t="s">
        <v>58</v>
      </c>
      <c r="C4" s="4" t="s">
        <v>59</v>
      </c>
    </row>
    <row r="5" spans="2:3" ht="16.5" customHeight="1">
      <c r="B5" s="7" t="s">
        <v>60</v>
      </c>
      <c r="C5" s="4" t="s">
        <v>61</v>
      </c>
    </row>
    <row r="6" spans="2:3">
      <c r="B6" s="7" t="s">
        <v>62</v>
      </c>
      <c r="C6" s="4" t="s">
        <v>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34C4-EA83-453F-88BD-15291579FAC0}">
  <dimension ref="B2:B59"/>
  <sheetViews>
    <sheetView showGridLines="0" topLeftCell="A38" workbookViewId="0">
      <selection activeCell="F12" sqref="F12"/>
    </sheetView>
  </sheetViews>
  <sheetFormatPr defaultRowHeight="14.45"/>
  <cols>
    <col min="2" max="2" width="107.42578125" style="11" customWidth="1"/>
  </cols>
  <sheetData>
    <row r="2" spans="2:2" ht="30.6" customHeight="1">
      <c r="B2" s="19" t="s">
        <v>64</v>
      </c>
    </row>
    <row r="3" spans="2:2" ht="30.95">
      <c r="B3" s="20" t="s">
        <v>65</v>
      </c>
    </row>
    <row r="5" spans="2:2" ht="15.6">
      <c r="B5" s="20" t="s">
        <v>66</v>
      </c>
    </row>
    <row r="34" spans="2:2" ht="18.600000000000001">
      <c r="B34" s="19" t="s">
        <v>67</v>
      </c>
    </row>
    <row r="36" spans="2:2" ht="43.5" customHeight="1">
      <c r="B36" s="11" t="s">
        <v>68</v>
      </c>
    </row>
    <row r="37" spans="2:2" ht="15.6">
      <c r="B37" s="20" t="s">
        <v>69</v>
      </c>
    </row>
    <row r="57" spans="2:2" ht="15.6">
      <c r="B57" s="20" t="s">
        <v>70</v>
      </c>
    </row>
    <row r="59" spans="2:2" ht="15.6">
      <c r="B59" s="20" t="s">
        <v>71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Props1.xml><?xml version="1.0" encoding="utf-8"?>
<ds:datastoreItem xmlns:ds="http://schemas.openxmlformats.org/officeDocument/2006/customXml" ds:itemID="{76C29BF7-7BCD-4D7B-8F96-7AE1CDC02501}"/>
</file>

<file path=customXml/itemProps2.xml><?xml version="1.0" encoding="utf-8"?>
<ds:datastoreItem xmlns:ds="http://schemas.openxmlformats.org/officeDocument/2006/customXml" ds:itemID="{8C7109F0-87D0-4EF0-AFB7-CABD4807CD18}"/>
</file>

<file path=customXml/itemProps3.xml><?xml version="1.0" encoding="utf-8"?>
<ds:datastoreItem xmlns:ds="http://schemas.openxmlformats.org/officeDocument/2006/customXml" ds:itemID="{57196BE2-FB3C-4D2A-A0F7-BEF2C3A646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2026-07-23T09:17:10Z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